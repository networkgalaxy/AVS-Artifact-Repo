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prash\Downloads\"/>
    </mc:Choice>
  </mc:AlternateContent>
  <xr:revisionPtr revIDLastSave="0" documentId="13_ncr:1_{A9678F3B-1BCB-4F58-A3FC-98092E4DB071}" xr6:coauthVersionLast="47" xr6:coauthVersionMax="47" xr10:uidLastSave="{00000000-0000-0000-0000-000000000000}"/>
  <bookViews>
    <workbookView xWindow="-120" yWindow="-120" windowWidth="29040" windowHeight="15720" xr2:uid="{00000000-000D-0000-FFFF-FFFF00000000}"/>
  </bookViews>
  <sheets>
    <sheet name="Index" sheetId="1" r:id="rId1"/>
    <sheet name="Repository" sheetId="2" r:id="rId2"/>
    <sheet name="Read Me" sheetId="3" r:id="rId3"/>
    <sheet name="Calc" sheetId="4" state="hidden" r:id="rId4"/>
  </sheets>
  <definedNames>
    <definedName name="BestHits">Calc!$B$13</definedName>
    <definedName name="ResultCount">Calc!$B$4</definedName>
    <definedName name="ScopeChoices">Calc!$M$2:INDEX(Calc!$M$2:$M$501, MAX(1, COUNTA(Calc!$M$2:$M$501)))</definedName>
    <definedName name="ScopeOverride">Calc!$B$15</definedName>
    <definedName name="SearchBox">Index!$E$6</definedName>
    <definedName name="SearchMode">Index!$B$8</definedName>
    <definedName name="SelScope">Index!$B$6</definedName>
    <definedName name="ShownCount">Calc!$B$5</definedName>
    <definedName name="Slicer_Scope_Group">#N/A</definedName>
    <definedName name="TermCount">Calc!$B$12</definedName>
    <definedName name="TotalDocs">Calc!$B$8</definedName>
    <definedName name="VisibleDocs">Calc!$B$14</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4" l="1"/>
  <c r="B3" i="4"/>
  <c r="C38" i="3"/>
  <c r="C37" i="3"/>
  <c r="C36" i="3"/>
  <c r="C35" i="3"/>
  <c r="C34" i="3"/>
  <c r="C33" i="3"/>
  <c r="C29" i="3"/>
  <c r="P113" i="2"/>
  <c r="O113" i="2"/>
  <c r="J113" i="2"/>
  <c r="I113" i="2"/>
  <c r="G113" i="2"/>
  <c r="H113" i="2" s="1"/>
  <c r="P112" i="2"/>
  <c r="O112" i="2"/>
  <c r="J112" i="2"/>
  <c r="I112" i="2"/>
  <c r="G112" i="2"/>
  <c r="H112" i="2" s="1"/>
  <c r="P111" i="2"/>
  <c r="O111" i="2"/>
  <c r="J111" i="2"/>
  <c r="I111" i="2"/>
  <c r="G111" i="2"/>
  <c r="H111" i="2" s="1"/>
  <c r="P110" i="2"/>
  <c r="O110" i="2"/>
  <c r="J110" i="2"/>
  <c r="I110" i="2"/>
  <c r="G110" i="2"/>
  <c r="H110" i="2" s="1"/>
  <c r="P109" i="2"/>
  <c r="O109" i="2"/>
  <c r="J109" i="2"/>
  <c r="I109" i="2"/>
  <c r="G109" i="2"/>
  <c r="H109" i="2" s="1"/>
  <c r="P108" i="2"/>
  <c r="O108" i="2"/>
  <c r="J108" i="2"/>
  <c r="I108" i="2"/>
  <c r="G108" i="2"/>
  <c r="H108" i="2" s="1"/>
  <c r="P107" i="2"/>
  <c r="O107" i="2"/>
  <c r="J107" i="2"/>
  <c r="I107" i="2"/>
  <c r="G107" i="2"/>
  <c r="H107" i="2" s="1"/>
  <c r="P106" i="2"/>
  <c r="O106" i="2"/>
  <c r="J106" i="2"/>
  <c r="I106" i="2"/>
  <c r="G106" i="2"/>
  <c r="H106" i="2" s="1"/>
  <c r="P105" i="2"/>
  <c r="O105" i="2"/>
  <c r="J105" i="2"/>
  <c r="I105" i="2"/>
  <c r="G105" i="2"/>
  <c r="H105" i="2" s="1"/>
  <c r="P104" i="2"/>
  <c r="O104" i="2"/>
  <c r="J104" i="2"/>
  <c r="I104" i="2"/>
  <c r="G104" i="2"/>
  <c r="H104" i="2" s="1"/>
  <c r="P103" i="2"/>
  <c r="O103" i="2"/>
  <c r="J103" i="2"/>
  <c r="I103" i="2"/>
  <c r="G103" i="2"/>
  <c r="H103" i="2" s="1"/>
  <c r="P102" i="2"/>
  <c r="O102" i="2"/>
  <c r="J102" i="2"/>
  <c r="I102" i="2"/>
  <c r="G102" i="2"/>
  <c r="H102" i="2" s="1"/>
  <c r="P101" i="2"/>
  <c r="O101" i="2"/>
  <c r="J101" i="2"/>
  <c r="I101" i="2"/>
  <c r="G101" i="2"/>
  <c r="H101" i="2" s="1"/>
  <c r="P100" i="2"/>
  <c r="O100" i="2"/>
  <c r="J100" i="2"/>
  <c r="I100" i="2"/>
  <c r="G100" i="2"/>
  <c r="H100" i="2" s="1"/>
  <c r="P99" i="2"/>
  <c r="O99" i="2"/>
  <c r="J99" i="2"/>
  <c r="I99" i="2"/>
  <c r="G99" i="2"/>
  <c r="H99" i="2" s="1"/>
  <c r="P98" i="2"/>
  <c r="O98" i="2"/>
  <c r="J98" i="2"/>
  <c r="I98" i="2"/>
  <c r="G98" i="2"/>
  <c r="H98" i="2" s="1"/>
  <c r="P97" i="2"/>
  <c r="O97" i="2"/>
  <c r="J97" i="2"/>
  <c r="I97" i="2"/>
  <c r="G97" i="2"/>
  <c r="H97" i="2" s="1"/>
  <c r="P96" i="2"/>
  <c r="O96" i="2"/>
  <c r="J96" i="2"/>
  <c r="I96" i="2"/>
  <c r="G96" i="2"/>
  <c r="H96" i="2" s="1"/>
  <c r="P95" i="2"/>
  <c r="O95" i="2"/>
  <c r="J95" i="2"/>
  <c r="I95" i="2"/>
  <c r="G95" i="2"/>
  <c r="H95" i="2" s="1"/>
  <c r="P94" i="2"/>
  <c r="O94" i="2"/>
  <c r="J94" i="2"/>
  <c r="I94" i="2"/>
  <c r="G94" i="2"/>
  <c r="H94" i="2" s="1"/>
  <c r="P93" i="2"/>
  <c r="O93" i="2"/>
  <c r="J93" i="2"/>
  <c r="I93" i="2"/>
  <c r="G93" i="2"/>
  <c r="H93" i="2" s="1"/>
  <c r="P92" i="2"/>
  <c r="O92" i="2"/>
  <c r="J92" i="2"/>
  <c r="I92" i="2"/>
  <c r="G92" i="2"/>
  <c r="H92" i="2" s="1"/>
  <c r="P91" i="2"/>
  <c r="O91" i="2"/>
  <c r="J91" i="2"/>
  <c r="I91" i="2"/>
  <c r="G91" i="2"/>
  <c r="H91" i="2" s="1"/>
  <c r="P90" i="2"/>
  <c r="O90" i="2"/>
  <c r="J90" i="2"/>
  <c r="I90" i="2"/>
  <c r="G90" i="2"/>
  <c r="H90" i="2" s="1"/>
  <c r="P89" i="2"/>
  <c r="O89" i="2"/>
  <c r="J89" i="2"/>
  <c r="I89" i="2"/>
  <c r="G89" i="2"/>
  <c r="H89" i="2" s="1"/>
  <c r="P88" i="2"/>
  <c r="O88" i="2"/>
  <c r="J88" i="2"/>
  <c r="I88" i="2"/>
  <c r="G88" i="2"/>
  <c r="H88" i="2" s="1"/>
  <c r="P87" i="2"/>
  <c r="O87" i="2"/>
  <c r="J87" i="2"/>
  <c r="I87" i="2"/>
  <c r="G87" i="2"/>
  <c r="H87" i="2" s="1"/>
  <c r="P86" i="2"/>
  <c r="O86" i="2"/>
  <c r="J86" i="2"/>
  <c r="I86" i="2"/>
  <c r="G86" i="2"/>
  <c r="H86" i="2" s="1"/>
  <c r="P85" i="2"/>
  <c r="O85" i="2"/>
  <c r="J85" i="2"/>
  <c r="I85" i="2"/>
  <c r="G85" i="2"/>
  <c r="H85" i="2" s="1"/>
  <c r="P84" i="2"/>
  <c r="O84" i="2"/>
  <c r="J84" i="2"/>
  <c r="I84" i="2"/>
  <c r="G84" i="2"/>
  <c r="H84" i="2" s="1"/>
  <c r="P83" i="2"/>
  <c r="O83" i="2"/>
  <c r="J83" i="2"/>
  <c r="I83" i="2"/>
  <c r="G83" i="2"/>
  <c r="H83" i="2" s="1"/>
  <c r="P82" i="2"/>
  <c r="O82" i="2"/>
  <c r="J82" i="2"/>
  <c r="I82" i="2"/>
  <c r="G82" i="2"/>
  <c r="H82" i="2" s="1"/>
  <c r="P81" i="2"/>
  <c r="O81" i="2"/>
  <c r="J81" i="2"/>
  <c r="I81" i="2"/>
  <c r="G81" i="2"/>
  <c r="H81" i="2" s="1"/>
  <c r="P80" i="2"/>
  <c r="O80" i="2"/>
  <c r="J80" i="2"/>
  <c r="I80" i="2"/>
  <c r="G80" i="2"/>
  <c r="H80" i="2" s="1"/>
  <c r="P79" i="2"/>
  <c r="O79" i="2"/>
  <c r="J79" i="2"/>
  <c r="I79" i="2"/>
  <c r="G79" i="2"/>
  <c r="H79" i="2" s="1"/>
  <c r="P78" i="2"/>
  <c r="O78" i="2"/>
  <c r="J78" i="2"/>
  <c r="I78" i="2"/>
  <c r="G78" i="2"/>
  <c r="H78" i="2" s="1"/>
  <c r="P77" i="2"/>
  <c r="O77" i="2"/>
  <c r="J77" i="2"/>
  <c r="I77" i="2"/>
  <c r="G77" i="2"/>
  <c r="H77" i="2" s="1"/>
  <c r="P76" i="2"/>
  <c r="O76" i="2"/>
  <c r="J76" i="2"/>
  <c r="I76" i="2"/>
  <c r="G76" i="2"/>
  <c r="H76" i="2" s="1"/>
  <c r="P75" i="2"/>
  <c r="O75" i="2"/>
  <c r="J75" i="2"/>
  <c r="I75" i="2"/>
  <c r="G75" i="2"/>
  <c r="H75" i="2" s="1"/>
  <c r="P74" i="2"/>
  <c r="O74" i="2"/>
  <c r="J74" i="2"/>
  <c r="I74" i="2"/>
  <c r="G74" i="2"/>
  <c r="H74" i="2" s="1"/>
  <c r="P73" i="2"/>
  <c r="O73" i="2"/>
  <c r="J73" i="2"/>
  <c r="I73" i="2"/>
  <c r="G73" i="2"/>
  <c r="H73" i="2" s="1"/>
  <c r="P72" i="2"/>
  <c r="O72" i="2"/>
  <c r="J72" i="2"/>
  <c r="I72" i="2"/>
  <c r="G72" i="2"/>
  <c r="H72" i="2" s="1"/>
  <c r="P71" i="2"/>
  <c r="O71" i="2"/>
  <c r="J71" i="2"/>
  <c r="I71" i="2"/>
  <c r="G71" i="2"/>
  <c r="H71" i="2" s="1"/>
  <c r="P70" i="2"/>
  <c r="O70" i="2"/>
  <c r="J70" i="2"/>
  <c r="I70" i="2"/>
  <c r="G70" i="2"/>
  <c r="H70" i="2" s="1"/>
  <c r="P69" i="2"/>
  <c r="O69" i="2"/>
  <c r="J69" i="2"/>
  <c r="I69" i="2"/>
  <c r="G69" i="2"/>
  <c r="H69" i="2" s="1"/>
  <c r="P68" i="2"/>
  <c r="O68" i="2"/>
  <c r="J68" i="2"/>
  <c r="I68" i="2"/>
  <c r="G68" i="2"/>
  <c r="H68" i="2" s="1"/>
  <c r="P67" i="2"/>
  <c r="O67" i="2"/>
  <c r="J67" i="2"/>
  <c r="I67" i="2"/>
  <c r="G67" i="2"/>
  <c r="H67" i="2" s="1"/>
  <c r="P66" i="2"/>
  <c r="O66" i="2"/>
  <c r="J66" i="2"/>
  <c r="I66" i="2"/>
  <c r="G66" i="2"/>
  <c r="H66" i="2" s="1"/>
  <c r="P65" i="2"/>
  <c r="O65" i="2"/>
  <c r="J65" i="2"/>
  <c r="I65" i="2"/>
  <c r="G65" i="2"/>
  <c r="H65" i="2" s="1"/>
  <c r="P64" i="2"/>
  <c r="O64" i="2"/>
  <c r="J64" i="2"/>
  <c r="I64" i="2"/>
  <c r="G64" i="2"/>
  <c r="H64" i="2" s="1"/>
  <c r="P63" i="2"/>
  <c r="O63" i="2"/>
  <c r="J63" i="2"/>
  <c r="I63" i="2"/>
  <c r="G63" i="2"/>
  <c r="H63" i="2" s="1"/>
  <c r="P62" i="2"/>
  <c r="O62" i="2"/>
  <c r="J62" i="2"/>
  <c r="I62" i="2"/>
  <c r="G62" i="2"/>
  <c r="H62" i="2" s="1"/>
  <c r="P61" i="2"/>
  <c r="O61" i="2"/>
  <c r="J61" i="2"/>
  <c r="I61" i="2"/>
  <c r="G61" i="2"/>
  <c r="H61" i="2" s="1"/>
  <c r="P60" i="2"/>
  <c r="O60" i="2"/>
  <c r="J60" i="2"/>
  <c r="I60" i="2"/>
  <c r="G60" i="2"/>
  <c r="H60" i="2" s="1"/>
  <c r="P59" i="2"/>
  <c r="O59" i="2"/>
  <c r="J59" i="2"/>
  <c r="I59" i="2"/>
  <c r="G59" i="2"/>
  <c r="H59" i="2" s="1"/>
  <c r="P58" i="2"/>
  <c r="O58" i="2"/>
  <c r="J58" i="2"/>
  <c r="I58" i="2"/>
  <c r="G58" i="2"/>
  <c r="H58" i="2" s="1"/>
  <c r="P57" i="2"/>
  <c r="O57" i="2"/>
  <c r="J57" i="2"/>
  <c r="I57" i="2"/>
  <c r="G57" i="2"/>
  <c r="H57" i="2" s="1"/>
  <c r="P56" i="2"/>
  <c r="O56" i="2"/>
  <c r="J56" i="2"/>
  <c r="I56" i="2"/>
  <c r="G56" i="2"/>
  <c r="H56" i="2" s="1"/>
  <c r="P55" i="2"/>
  <c r="O55" i="2"/>
  <c r="J55" i="2"/>
  <c r="I55" i="2"/>
  <c r="G55" i="2"/>
  <c r="H55" i="2" s="1"/>
  <c r="P54" i="2"/>
  <c r="O54" i="2"/>
  <c r="J54" i="2"/>
  <c r="I54" i="2"/>
  <c r="G54" i="2"/>
  <c r="H54" i="2" s="1"/>
  <c r="P53" i="2"/>
  <c r="O53" i="2"/>
  <c r="J53" i="2"/>
  <c r="I53" i="2"/>
  <c r="G53" i="2"/>
  <c r="H53" i="2" s="1"/>
  <c r="P52" i="2"/>
  <c r="O52" i="2"/>
  <c r="J52" i="2"/>
  <c r="I52" i="2"/>
  <c r="G52" i="2"/>
  <c r="H52" i="2" s="1"/>
  <c r="P51" i="2"/>
  <c r="O51" i="2"/>
  <c r="J51" i="2"/>
  <c r="I51" i="2"/>
  <c r="G51" i="2"/>
  <c r="H51" i="2" s="1"/>
  <c r="P50" i="2"/>
  <c r="O50" i="2"/>
  <c r="J50" i="2"/>
  <c r="I50" i="2"/>
  <c r="G50" i="2"/>
  <c r="H50" i="2" s="1"/>
  <c r="P49" i="2"/>
  <c r="O49" i="2"/>
  <c r="J49" i="2"/>
  <c r="I49" i="2"/>
  <c r="G49" i="2"/>
  <c r="H49" i="2" s="1"/>
  <c r="P48" i="2"/>
  <c r="O48" i="2"/>
  <c r="J48" i="2"/>
  <c r="I48" i="2"/>
  <c r="G48" i="2"/>
  <c r="H48" i="2" s="1"/>
  <c r="P47" i="2"/>
  <c r="O47" i="2"/>
  <c r="J47" i="2"/>
  <c r="I47" i="2"/>
  <c r="G47" i="2"/>
  <c r="H47" i="2" s="1"/>
  <c r="P46" i="2"/>
  <c r="O46" i="2"/>
  <c r="J46" i="2"/>
  <c r="I46" i="2"/>
  <c r="G46" i="2"/>
  <c r="H46" i="2" s="1"/>
  <c r="P45" i="2"/>
  <c r="O45" i="2"/>
  <c r="J45" i="2"/>
  <c r="I45" i="2"/>
  <c r="G45" i="2"/>
  <c r="H45" i="2" s="1"/>
  <c r="P44" i="2"/>
  <c r="O44" i="2"/>
  <c r="J44" i="2"/>
  <c r="I44" i="2"/>
  <c r="G44" i="2"/>
  <c r="H44" i="2" s="1"/>
  <c r="P43" i="2"/>
  <c r="O43" i="2"/>
  <c r="J43" i="2"/>
  <c r="I43" i="2"/>
  <c r="G43" i="2"/>
  <c r="H43" i="2" s="1"/>
  <c r="P42" i="2"/>
  <c r="O42" i="2"/>
  <c r="J42" i="2"/>
  <c r="I42" i="2"/>
  <c r="G42" i="2"/>
  <c r="H42" i="2" s="1"/>
  <c r="P41" i="2"/>
  <c r="O41" i="2"/>
  <c r="J41" i="2"/>
  <c r="I41" i="2"/>
  <c r="G41" i="2"/>
  <c r="H41" i="2" s="1"/>
  <c r="P40" i="2"/>
  <c r="O40" i="2"/>
  <c r="J40" i="2"/>
  <c r="I40" i="2"/>
  <c r="G40" i="2"/>
  <c r="H40" i="2" s="1"/>
  <c r="P39" i="2"/>
  <c r="O39" i="2"/>
  <c r="J39" i="2"/>
  <c r="I39" i="2"/>
  <c r="G39" i="2"/>
  <c r="H39" i="2" s="1"/>
  <c r="P38" i="2"/>
  <c r="O38" i="2"/>
  <c r="J38" i="2"/>
  <c r="I38" i="2"/>
  <c r="G38" i="2"/>
  <c r="H38" i="2" s="1"/>
  <c r="P37" i="2"/>
  <c r="O37" i="2"/>
  <c r="J37" i="2"/>
  <c r="I37" i="2"/>
  <c r="G37" i="2"/>
  <c r="H37" i="2" s="1"/>
  <c r="P36" i="2"/>
  <c r="O36" i="2"/>
  <c r="J36" i="2"/>
  <c r="I36" i="2"/>
  <c r="G36" i="2"/>
  <c r="H36" i="2" s="1"/>
  <c r="P35" i="2"/>
  <c r="O35" i="2"/>
  <c r="J35" i="2"/>
  <c r="I35" i="2"/>
  <c r="G35" i="2"/>
  <c r="H35" i="2" s="1"/>
  <c r="P34" i="2"/>
  <c r="O34" i="2"/>
  <c r="J34" i="2"/>
  <c r="I34" i="2"/>
  <c r="G34" i="2"/>
  <c r="H34" i="2" s="1"/>
  <c r="P33" i="2"/>
  <c r="O33" i="2"/>
  <c r="J33" i="2"/>
  <c r="I33" i="2"/>
  <c r="G33" i="2"/>
  <c r="H33" i="2" s="1"/>
  <c r="P32" i="2"/>
  <c r="O32" i="2"/>
  <c r="J32" i="2"/>
  <c r="I32" i="2"/>
  <c r="G32" i="2"/>
  <c r="H32" i="2" s="1"/>
  <c r="P31" i="2"/>
  <c r="O31" i="2"/>
  <c r="J31" i="2"/>
  <c r="I31" i="2"/>
  <c r="G31" i="2"/>
  <c r="H31" i="2" s="1"/>
  <c r="P30" i="2"/>
  <c r="O30" i="2"/>
  <c r="J30" i="2"/>
  <c r="I30" i="2"/>
  <c r="G30" i="2"/>
  <c r="H30" i="2" s="1"/>
  <c r="P29" i="2"/>
  <c r="O29" i="2"/>
  <c r="J29" i="2"/>
  <c r="I29" i="2"/>
  <c r="G29" i="2"/>
  <c r="H29" i="2" s="1"/>
  <c r="P28" i="2"/>
  <c r="O28" i="2"/>
  <c r="J28" i="2"/>
  <c r="I28" i="2"/>
  <c r="G28" i="2"/>
  <c r="H28" i="2" s="1"/>
  <c r="P27" i="2"/>
  <c r="O27" i="2"/>
  <c r="J27" i="2"/>
  <c r="I27" i="2"/>
  <c r="G27" i="2"/>
  <c r="H27" i="2" s="1"/>
  <c r="P26" i="2"/>
  <c r="O26" i="2"/>
  <c r="J26" i="2"/>
  <c r="I26" i="2"/>
  <c r="G26" i="2"/>
  <c r="H26" i="2" s="1"/>
  <c r="P25" i="2"/>
  <c r="O25" i="2"/>
  <c r="J25" i="2"/>
  <c r="I25" i="2"/>
  <c r="G25" i="2"/>
  <c r="H25" i="2" s="1"/>
  <c r="P24" i="2"/>
  <c r="O24" i="2"/>
  <c r="J24" i="2"/>
  <c r="I24" i="2"/>
  <c r="G24" i="2"/>
  <c r="H24" i="2" s="1"/>
  <c r="P23" i="2"/>
  <c r="O23" i="2"/>
  <c r="J23" i="2"/>
  <c r="I23" i="2"/>
  <c r="G23" i="2"/>
  <c r="H23" i="2" s="1"/>
  <c r="P22" i="2"/>
  <c r="O22" i="2"/>
  <c r="J22" i="2"/>
  <c r="I22" i="2"/>
  <c r="G22" i="2"/>
  <c r="H22" i="2" s="1"/>
  <c r="P21" i="2"/>
  <c r="O21" i="2"/>
  <c r="J21" i="2"/>
  <c r="I21" i="2"/>
  <c r="G21" i="2"/>
  <c r="H21" i="2" s="1"/>
  <c r="P20" i="2"/>
  <c r="O20" i="2"/>
  <c r="J20" i="2"/>
  <c r="I20" i="2"/>
  <c r="G20" i="2"/>
  <c r="H20" i="2" s="1"/>
  <c r="P19" i="2"/>
  <c r="O19" i="2"/>
  <c r="J19" i="2"/>
  <c r="I19" i="2"/>
  <c r="G19" i="2"/>
  <c r="H19" i="2" s="1"/>
  <c r="P18" i="2"/>
  <c r="O18" i="2"/>
  <c r="J18" i="2"/>
  <c r="I18" i="2"/>
  <c r="G18" i="2"/>
  <c r="H18" i="2" s="1"/>
  <c r="P17" i="2"/>
  <c r="O17" i="2"/>
  <c r="J17" i="2"/>
  <c r="I17" i="2"/>
  <c r="G17" i="2"/>
  <c r="H17" i="2" s="1"/>
  <c r="P16" i="2"/>
  <c r="O16" i="2"/>
  <c r="J16" i="2"/>
  <c r="I16" i="2"/>
  <c r="G16" i="2"/>
  <c r="H16" i="2" s="1"/>
  <c r="P15" i="2"/>
  <c r="O15" i="2"/>
  <c r="J15" i="2"/>
  <c r="I15" i="2"/>
  <c r="G15" i="2"/>
  <c r="H15" i="2" s="1"/>
  <c r="P14" i="2"/>
  <c r="O14" i="2"/>
  <c r="J14" i="2"/>
  <c r="I14" i="2"/>
  <c r="G14" i="2"/>
  <c r="H14" i="2" s="1"/>
  <c r="P13" i="2"/>
  <c r="O13" i="2"/>
  <c r="J13" i="2"/>
  <c r="I13" i="2"/>
  <c r="G13" i="2"/>
  <c r="H13" i="2" s="1"/>
  <c r="P12" i="2"/>
  <c r="O12" i="2"/>
  <c r="J12" i="2"/>
  <c r="I12" i="2"/>
  <c r="G12" i="2"/>
  <c r="H12" i="2" s="1"/>
  <c r="P11" i="2"/>
  <c r="O11" i="2"/>
  <c r="J11" i="2"/>
  <c r="I11" i="2"/>
  <c r="G11" i="2"/>
  <c r="H11" i="2" s="1"/>
  <c r="P10" i="2"/>
  <c r="O10" i="2"/>
  <c r="J10" i="2"/>
  <c r="I10" i="2"/>
  <c r="G10" i="2"/>
  <c r="H10" i="2" s="1"/>
  <c r="P9" i="2"/>
  <c r="O9" i="2"/>
  <c r="J9" i="2"/>
  <c r="I9" i="2"/>
  <c r="G9" i="2"/>
  <c r="H9" i="2" s="1"/>
  <c r="P8" i="2"/>
  <c r="O8" i="2"/>
  <c r="J8" i="2"/>
  <c r="I8" i="2"/>
  <c r="G8" i="2"/>
  <c r="H8" i="2" s="1"/>
  <c r="P7" i="2"/>
  <c r="O7" i="2"/>
  <c r="J7" i="2"/>
  <c r="I7" i="2"/>
  <c r="G7" i="2"/>
  <c r="H7" i="2" s="1"/>
  <c r="P6" i="2"/>
  <c r="O6" i="2"/>
  <c r="J6" i="2"/>
  <c r="I6" i="2"/>
  <c r="G6" i="2"/>
  <c r="H6" i="2" s="1"/>
  <c r="P5" i="2"/>
  <c r="O5" i="2"/>
  <c r="J5" i="2"/>
  <c r="I5" i="2"/>
  <c r="G5" i="2"/>
  <c r="B35" i="1"/>
  <c r="C35" i="1" s="1"/>
  <c r="B34" i="1"/>
  <c r="C34" i="1" s="1"/>
  <c r="B33" i="1"/>
  <c r="C33" i="1" s="1"/>
  <c r="B32" i="1"/>
  <c r="C32" i="1" s="1"/>
  <c r="B31" i="1"/>
  <c r="C31" i="1" s="1"/>
  <c r="B30" i="1"/>
  <c r="C30" i="1" s="1"/>
  <c r="B29" i="1"/>
  <c r="C29" i="1" s="1"/>
  <c r="B28" i="1"/>
  <c r="C28" i="1" s="1"/>
  <c r="B27" i="1"/>
  <c r="C27" i="1" s="1"/>
  <c r="B26" i="1"/>
  <c r="C26" i="1" s="1"/>
  <c r="B25" i="1"/>
  <c r="C25" i="1" s="1"/>
  <c r="C31" i="3" l="1"/>
  <c r="I2" i="4"/>
  <c r="H2" i="4"/>
  <c r="G2" i="4"/>
  <c r="E2" i="4"/>
  <c r="K2" i="4"/>
  <c r="F2" i="4"/>
  <c r="D2" i="4"/>
  <c r="J2" i="4"/>
  <c r="B12" i="4"/>
  <c r="M2" i="4" a="1"/>
  <c r="C32" i="3"/>
  <c r="H5" i="2"/>
  <c r="B14" i="4" s="1"/>
  <c r="K72" i="2" l="1"/>
  <c r="L72" i="2" s="1"/>
  <c r="K26" i="2"/>
  <c r="L26" i="2" s="1"/>
  <c r="K27" i="2"/>
  <c r="L27" i="2" s="1"/>
  <c r="K71" i="2"/>
  <c r="L71" i="2" s="1"/>
  <c r="K28" i="2"/>
  <c r="L28" i="2" s="1"/>
  <c r="B24" i="1"/>
  <c r="C24" i="1" s="1"/>
  <c r="B23" i="1"/>
  <c r="C23" i="1" s="1"/>
  <c r="B22" i="1"/>
  <c r="C22" i="1" s="1"/>
  <c r="B21" i="1"/>
  <c r="C21" i="1" s="1"/>
  <c r="B20" i="1"/>
  <c r="C20" i="1" s="1"/>
  <c r="B19" i="1"/>
  <c r="C19" i="1" s="1"/>
  <c r="B18" i="1"/>
  <c r="C18" i="1" s="1"/>
  <c r="B17" i="1"/>
  <c r="C17" i="1" s="1"/>
  <c r="B16" i="1"/>
  <c r="C16" i="1" s="1"/>
  <c r="B15" i="1"/>
  <c r="C15" i="1" s="1"/>
  <c r="B14" i="1"/>
  <c r="C14" i="1" s="1"/>
  <c r="B13" i="1"/>
  <c r="C13" i="1" s="1"/>
  <c r="K25" i="2"/>
  <c r="L25" i="2" s="1"/>
  <c r="K6" i="2"/>
  <c r="K11" i="2"/>
  <c r="K15" i="2"/>
  <c r="K20" i="2"/>
  <c r="K29" i="2"/>
  <c r="K37" i="2"/>
  <c r="K43" i="2"/>
  <c r="K66" i="2"/>
  <c r="K73" i="2"/>
  <c r="K76" i="2"/>
  <c r="K80" i="2"/>
  <c r="K82" i="2"/>
  <c r="K83" i="2"/>
  <c r="K85" i="2"/>
  <c r="K86" i="2"/>
  <c r="K91" i="2"/>
  <c r="K94" i="2"/>
  <c r="K99" i="2"/>
  <c r="K103" i="2"/>
  <c r="K105" i="2"/>
  <c r="K109" i="2"/>
  <c r="K111" i="2"/>
  <c r="K8" i="2"/>
  <c r="K13" i="2"/>
  <c r="K17" i="2"/>
  <c r="K21" i="2"/>
  <c r="K30" i="2"/>
  <c r="K36" i="2"/>
  <c r="K40" i="2"/>
  <c r="K44" i="2"/>
  <c r="K49" i="2"/>
  <c r="K50" i="2"/>
  <c r="K51" i="2"/>
  <c r="K52" i="2"/>
  <c r="K53" i="2"/>
  <c r="K54" i="2"/>
  <c r="K55" i="2"/>
  <c r="K56" i="2"/>
  <c r="K57" i="2"/>
  <c r="K58" i="2"/>
  <c r="K59" i="2"/>
  <c r="K60" i="2"/>
  <c r="K61" i="2"/>
  <c r="K62" i="2"/>
  <c r="K63" i="2"/>
  <c r="K64" i="2"/>
  <c r="K7" i="2"/>
  <c r="K14" i="2"/>
  <c r="K18" i="2"/>
  <c r="K23" i="2"/>
  <c r="K31" i="2"/>
  <c r="L31" i="2" s="1"/>
  <c r="K34" i="2"/>
  <c r="K41" i="2"/>
  <c r="K46" i="2"/>
  <c r="K65" i="2"/>
  <c r="K78" i="2"/>
  <c r="K9" i="2"/>
  <c r="K12" i="2"/>
  <c r="K19" i="2"/>
  <c r="K24" i="2"/>
  <c r="K33" i="2"/>
  <c r="L33" i="2" s="1"/>
  <c r="K39" i="2"/>
  <c r="K45" i="2"/>
  <c r="K48" i="2"/>
  <c r="K67" i="2"/>
  <c r="K69" i="2"/>
  <c r="K74" i="2"/>
  <c r="K77" i="2"/>
  <c r="K81" i="2"/>
  <c r="K87" i="2"/>
  <c r="K90" i="2"/>
  <c r="K93" i="2"/>
  <c r="K96" i="2"/>
  <c r="K97" i="2"/>
  <c r="K100" i="2"/>
  <c r="K102" i="2"/>
  <c r="K104" i="2"/>
  <c r="K107" i="2"/>
  <c r="K110" i="2"/>
  <c r="K113" i="2"/>
  <c r="K5" i="2"/>
  <c r="L5" i="2" s="1"/>
  <c r="K10" i="2"/>
  <c r="L10" i="2" s="1"/>
  <c r="K16" i="2"/>
  <c r="K22" i="2"/>
  <c r="K32" i="2"/>
  <c r="K35" i="2"/>
  <c r="K38" i="2"/>
  <c r="K42" i="2"/>
  <c r="L42" i="2" s="1"/>
  <c r="K47" i="2"/>
  <c r="K68" i="2"/>
  <c r="K70" i="2"/>
  <c r="K75" i="2"/>
  <c r="K79" i="2"/>
  <c r="K84" i="2"/>
  <c r="K88" i="2"/>
  <c r="K89" i="2"/>
  <c r="K92" i="2"/>
  <c r="K95" i="2"/>
  <c r="K98" i="2"/>
  <c r="K101" i="2"/>
  <c r="K106" i="2"/>
  <c r="K108" i="2"/>
  <c r="L108" i="2" s="1"/>
  <c r="K112" i="2"/>
  <c r="L112" i="2" s="1"/>
  <c r="L37" i="2"/>
  <c r="L79" i="2"/>
  <c r="L87" i="2"/>
  <c r="L30" i="2"/>
  <c r="L32" i="2"/>
  <c r="L36" i="2"/>
  <c r="L38" i="2"/>
  <c r="L41" i="2"/>
  <c r="L43" i="2"/>
  <c r="L73" i="2"/>
  <c r="L74" i="2"/>
  <c r="L75" i="2"/>
  <c r="L77" i="2"/>
  <c r="L78" i="2"/>
  <c r="L81" i="2"/>
  <c r="L82" i="2"/>
  <c r="L83" i="2"/>
  <c r="L85" i="2"/>
  <c r="L86" i="2"/>
  <c r="L88" i="2"/>
  <c r="L89" i="2"/>
  <c r="L90" i="2"/>
  <c r="L91" i="2"/>
  <c r="L93" i="2"/>
  <c r="L94" i="2"/>
  <c r="L95" i="2"/>
  <c r="L96" i="2"/>
  <c r="L97" i="2"/>
  <c r="L98" i="2"/>
  <c r="L99" i="2"/>
  <c r="L101" i="2"/>
  <c r="L102" i="2"/>
  <c r="L104" i="2"/>
  <c r="L105" i="2"/>
  <c r="L106" i="2"/>
  <c r="L107" i="2"/>
  <c r="L6" i="2"/>
  <c r="L7" i="2"/>
  <c r="L8" i="2"/>
  <c r="L9" i="2"/>
  <c r="L11" i="2"/>
  <c r="L12" i="2"/>
  <c r="L13" i="2"/>
  <c r="L14" i="2"/>
  <c r="L15" i="2"/>
  <c r="L16" i="2"/>
  <c r="L17" i="2"/>
  <c r="L18" i="2"/>
  <c r="L19" i="2"/>
  <c r="L20" i="2"/>
  <c r="L21" i="2"/>
  <c r="L22" i="2"/>
  <c r="L23" i="2"/>
  <c r="L24" i="2"/>
  <c r="L35" i="2"/>
  <c r="L40" i="2"/>
  <c r="L44" i="2"/>
  <c r="L45" i="2"/>
  <c r="L46" i="2"/>
  <c r="L47" i="2"/>
  <c r="L48" i="2"/>
  <c r="L49" i="2"/>
  <c r="L50" i="2"/>
  <c r="L51" i="2"/>
  <c r="L52" i="2"/>
  <c r="L53" i="2"/>
  <c r="L54" i="2"/>
  <c r="L55" i="2"/>
  <c r="L56" i="2"/>
  <c r="L57" i="2"/>
  <c r="L58" i="2"/>
  <c r="L59" i="2"/>
  <c r="L60" i="2"/>
  <c r="L61" i="2"/>
  <c r="L62" i="2"/>
  <c r="L63" i="2"/>
  <c r="L64" i="2"/>
  <c r="L65" i="2"/>
  <c r="L66" i="2"/>
  <c r="L67" i="2"/>
  <c r="L68" i="2"/>
  <c r="L69" i="2"/>
  <c r="L70" i="2"/>
  <c r="L29" i="2"/>
  <c r="L34" i="2"/>
  <c r="L39" i="2"/>
  <c r="L76" i="2"/>
  <c r="L80" i="2"/>
  <c r="L84" i="2"/>
  <c r="L92" i="2"/>
  <c r="L100" i="2"/>
  <c r="L103" i="2"/>
  <c r="L109" i="2"/>
  <c r="L110" i="2"/>
  <c r="L111" i="2"/>
  <c r="L113" i="2"/>
  <c r="B15" i="4"/>
  <c r="B7" i="4"/>
  <c r="B12" i="1"/>
  <c r="C12" i="1" s="1"/>
  <c r="M37" i="2" l="1"/>
  <c r="M79" i="2"/>
  <c r="M87" i="2"/>
  <c r="M30" i="2"/>
  <c r="M32" i="2"/>
  <c r="M33" i="2"/>
  <c r="M36" i="2"/>
  <c r="M38" i="2"/>
  <c r="M41" i="2"/>
  <c r="M43" i="2"/>
  <c r="M73" i="2"/>
  <c r="M74" i="2"/>
  <c r="M75" i="2"/>
  <c r="M77" i="2"/>
  <c r="M78" i="2"/>
  <c r="M81" i="2"/>
  <c r="M82" i="2"/>
  <c r="M83" i="2"/>
  <c r="M85" i="2"/>
  <c r="M86" i="2"/>
  <c r="M88" i="2"/>
  <c r="M89" i="2"/>
  <c r="M90" i="2"/>
  <c r="M91" i="2"/>
  <c r="M93" i="2"/>
  <c r="M94" i="2"/>
  <c r="M95" i="2"/>
  <c r="M96" i="2"/>
  <c r="M97" i="2"/>
  <c r="M98" i="2"/>
  <c r="M99" i="2"/>
  <c r="M101" i="2"/>
  <c r="M102" i="2"/>
  <c r="M104" i="2"/>
  <c r="M105" i="2"/>
  <c r="M106" i="2"/>
  <c r="M107" i="2"/>
  <c r="M108" i="2"/>
  <c r="M31" i="2"/>
  <c r="M42" i="2"/>
  <c r="M5" i="2"/>
  <c r="M6" i="2"/>
  <c r="M7" i="2"/>
  <c r="M8" i="2"/>
  <c r="M9" i="2"/>
  <c r="M10" i="2"/>
  <c r="M11" i="2"/>
  <c r="M12" i="2"/>
  <c r="M13" i="2"/>
  <c r="M14" i="2"/>
  <c r="M15" i="2"/>
  <c r="M16" i="2"/>
  <c r="M17" i="2"/>
  <c r="M18" i="2"/>
  <c r="M19" i="2"/>
  <c r="M20" i="2"/>
  <c r="M21" i="2"/>
  <c r="M22" i="2"/>
  <c r="M23" i="2"/>
  <c r="M24" i="2"/>
  <c r="M25" i="2"/>
  <c r="M26" i="2"/>
  <c r="M27" i="2"/>
  <c r="M28" i="2"/>
  <c r="M35" i="2"/>
  <c r="M40"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29" i="2"/>
  <c r="M34" i="2"/>
  <c r="M39" i="2"/>
  <c r="M76" i="2"/>
  <c r="M80" i="2"/>
  <c r="M84" i="2"/>
  <c r="M92" i="2"/>
  <c r="M100" i="2"/>
  <c r="M103" i="2"/>
  <c r="M109" i="2"/>
  <c r="M110" i="2"/>
  <c r="M111" i="2"/>
  <c r="M112" i="2"/>
  <c r="M113" i="2"/>
  <c r="B11" i="4"/>
  <c r="B3" i="1" s="1"/>
  <c r="C30" i="3"/>
  <c r="B13" i="4" l="1"/>
  <c r="N5" i="2" l="1"/>
  <c r="N37" i="2"/>
  <c r="N38" i="2"/>
  <c r="N74" i="2"/>
  <c r="N82" i="2"/>
  <c r="N88" i="2"/>
  <c r="N93" i="2"/>
  <c r="N97" i="2"/>
  <c r="N105" i="2"/>
  <c r="N42" i="2"/>
  <c r="N10" i="2"/>
  <c r="N14" i="2"/>
  <c r="N20" i="2"/>
  <c r="N26" i="2"/>
  <c r="N46" i="2"/>
  <c r="N52" i="2"/>
  <c r="N58" i="2"/>
  <c r="N63" i="2"/>
  <c r="N70" i="2"/>
  <c r="N39" i="2"/>
  <c r="N109" i="2"/>
  <c r="N32" i="2"/>
  <c r="N36" i="2"/>
  <c r="N43" i="2"/>
  <c r="N75" i="2"/>
  <c r="N78" i="2"/>
  <c r="N85" i="2"/>
  <c r="N90" i="2"/>
  <c r="N91" i="2"/>
  <c r="N96" i="2"/>
  <c r="N99" i="2"/>
  <c r="N102" i="2"/>
  <c r="N107" i="2"/>
  <c r="N31" i="2"/>
  <c r="N7" i="2"/>
  <c r="N11" i="2"/>
  <c r="N13" i="2"/>
  <c r="N18" i="2"/>
  <c r="N21" i="2"/>
  <c r="N25" i="2"/>
  <c r="N35" i="2"/>
  <c r="N45" i="2"/>
  <c r="N50" i="2"/>
  <c r="N53" i="2"/>
  <c r="N57" i="2"/>
  <c r="N61" i="2"/>
  <c r="N64" i="2"/>
  <c r="N69" i="2"/>
  <c r="N34" i="2"/>
  <c r="N80" i="2"/>
  <c r="N100" i="2"/>
  <c r="N110" i="2"/>
  <c r="N87" i="2"/>
  <c r="N108" i="2"/>
  <c r="N6" i="2"/>
  <c r="N9" i="2"/>
  <c r="N12" i="2"/>
  <c r="N16" i="2"/>
  <c r="N19" i="2"/>
  <c r="N24" i="2"/>
  <c r="N27" i="2"/>
  <c r="N44" i="2"/>
  <c r="N47" i="2"/>
  <c r="N51" i="2"/>
  <c r="N56" i="2"/>
  <c r="N59" i="2"/>
  <c r="N65" i="2"/>
  <c r="N68" i="2"/>
  <c r="N72" i="2"/>
  <c r="N76" i="2"/>
  <c r="N103" i="2"/>
  <c r="N112" i="2"/>
  <c r="N79" i="2"/>
  <c r="N30" i="2"/>
  <c r="N41" i="2"/>
  <c r="N77" i="2"/>
  <c r="N83" i="2"/>
  <c r="N89" i="2"/>
  <c r="N95" i="2"/>
  <c r="N101" i="2"/>
  <c r="N106" i="2"/>
  <c r="N17" i="2"/>
  <c r="N23" i="2"/>
  <c r="N40" i="2"/>
  <c r="N49" i="2"/>
  <c r="N55" i="2"/>
  <c r="N62" i="2"/>
  <c r="N67" i="2"/>
  <c r="N29" i="2"/>
  <c r="N92" i="2"/>
  <c r="N113" i="2"/>
  <c r="N33" i="2"/>
  <c r="N73" i="2"/>
  <c r="N81" i="2"/>
  <c r="N86" i="2"/>
  <c r="N94" i="2"/>
  <c r="N98" i="2"/>
  <c r="N104" i="2"/>
  <c r="N8" i="2"/>
  <c r="N15" i="2"/>
  <c r="N22" i="2"/>
  <c r="N28" i="2"/>
  <c r="N48" i="2"/>
  <c r="N54" i="2"/>
  <c r="N60" i="2"/>
  <c r="N66" i="2"/>
  <c r="N71" i="2"/>
  <c r="N84" i="2"/>
  <c r="N111" i="2"/>
  <c r="B4" i="4" l="1"/>
  <c r="K36" i="1" l="1"/>
  <c r="K67" i="1"/>
  <c r="K146" i="1"/>
  <c r="K155" i="1"/>
  <c r="K161" i="1"/>
  <c r="K165" i="1"/>
  <c r="K184" i="1"/>
  <c r="K195" i="1"/>
  <c r="K207" i="1"/>
  <c r="B5" i="4"/>
  <c r="B10" i="4" s="1"/>
  <c r="E212" i="1" s="1"/>
  <c r="K17" i="1"/>
  <c r="K21" i="1"/>
  <c r="K25" i="1"/>
  <c r="K33" i="1"/>
  <c r="K37" i="1"/>
  <c r="K40" i="1"/>
  <c r="K44" i="1"/>
  <c r="K46" i="1"/>
  <c r="K57" i="1"/>
  <c r="K60" i="1"/>
  <c r="K72" i="1"/>
  <c r="K144" i="1"/>
  <c r="K152" i="1"/>
  <c r="K156" i="1"/>
  <c r="K164" i="1"/>
  <c r="K167" i="1"/>
  <c r="K172" i="1"/>
  <c r="K173" i="1"/>
  <c r="K177" i="1"/>
  <c r="K181" i="1"/>
  <c r="K189" i="1"/>
  <c r="K192" i="1"/>
  <c r="K196" i="1"/>
  <c r="K198" i="1"/>
  <c r="K200" i="1"/>
  <c r="K202" i="1"/>
  <c r="K204" i="1"/>
  <c r="K211" i="1"/>
  <c r="K82" i="1"/>
  <c r="K14" i="1"/>
  <c r="K22" i="1"/>
  <c r="K26" i="1"/>
  <c r="K31" i="1"/>
  <c r="K39" i="1"/>
  <c r="K41" i="1"/>
  <c r="K45" i="1"/>
  <c r="K52" i="1"/>
  <c r="K53" i="1"/>
  <c r="K56" i="1"/>
  <c r="K64" i="1"/>
  <c r="K66" i="1"/>
  <c r="K68" i="1"/>
  <c r="K70" i="1"/>
  <c r="K73" i="1"/>
  <c r="K143" i="1"/>
  <c r="K147" i="1"/>
  <c r="K151" i="1"/>
  <c r="K157" i="1"/>
  <c r="K168" i="1"/>
  <c r="K170" i="1"/>
  <c r="K176" i="1"/>
  <c r="K188" i="1"/>
  <c r="K190" i="1"/>
  <c r="K194" i="1"/>
  <c r="K210" i="1"/>
  <c r="B9" i="4"/>
  <c r="E9" i="1" s="1"/>
  <c r="K15" i="1"/>
  <c r="K18" i="1"/>
  <c r="K23" i="1"/>
  <c r="K27" i="1"/>
  <c r="K30" i="1"/>
  <c r="K32" i="1"/>
  <c r="K35" i="1"/>
  <c r="K42" i="1"/>
  <c r="K47" i="1"/>
  <c r="K50" i="1"/>
  <c r="K55" i="1"/>
  <c r="K58" i="1"/>
  <c r="K61" i="1"/>
  <c r="K65" i="1"/>
  <c r="K69" i="1"/>
  <c r="K75" i="1"/>
  <c r="K76" i="1"/>
  <c r="K77" i="1"/>
  <c r="K78" i="1"/>
  <c r="K79" i="1"/>
  <c r="K80" i="1"/>
  <c r="K81"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28" i="1"/>
  <c r="K38" i="1"/>
  <c r="K59" i="1"/>
  <c r="K71" i="1"/>
  <c r="K149" i="1"/>
  <c r="K158" i="1"/>
  <c r="K163" i="1"/>
  <c r="K179" i="1"/>
  <c r="K182" i="1"/>
  <c r="K199" i="1"/>
  <c r="K209" i="1"/>
  <c r="K20" i="1"/>
  <c r="K63" i="1"/>
  <c r="K74" i="1"/>
  <c r="K154" i="1"/>
  <c r="K159" i="1"/>
  <c r="K162" i="1"/>
  <c r="K166" i="1"/>
  <c r="K175" i="1"/>
  <c r="K180" i="1"/>
  <c r="K186" i="1"/>
  <c r="K206" i="1"/>
  <c r="K12" i="1"/>
  <c r="K13" i="1"/>
  <c r="K16" i="1"/>
  <c r="K19" i="1"/>
  <c r="K24" i="1"/>
  <c r="K29" i="1"/>
  <c r="K34" i="1"/>
  <c r="K43" i="1"/>
  <c r="K48" i="1"/>
  <c r="K49" i="1"/>
  <c r="K51" i="1"/>
  <c r="K54" i="1"/>
  <c r="K62" i="1"/>
  <c r="K145" i="1"/>
  <c r="K148" i="1"/>
  <c r="K150" i="1"/>
  <c r="K153" i="1"/>
  <c r="K160" i="1"/>
  <c r="K169" i="1"/>
  <c r="K171" i="1"/>
  <c r="K174" i="1"/>
  <c r="K178" i="1"/>
  <c r="K183" i="1"/>
  <c r="K185" i="1"/>
  <c r="K187" i="1"/>
  <c r="K191" i="1"/>
  <c r="K193" i="1"/>
  <c r="K197" i="1"/>
  <c r="K201" i="1"/>
  <c r="K203" i="1"/>
  <c r="K205" i="1"/>
  <c r="K208" i="1"/>
  <c r="F36" i="1" l="1"/>
  <c r="H36" i="1"/>
  <c r="G36" i="1"/>
  <c r="E36" i="1"/>
  <c r="F67" i="1"/>
  <c r="H67" i="1"/>
  <c r="G67" i="1"/>
  <c r="E67" i="1"/>
  <c r="E146" i="1"/>
  <c r="F146" i="1"/>
  <c r="H146" i="1"/>
  <c r="G146" i="1"/>
  <c r="G155" i="1"/>
  <c r="H155" i="1"/>
  <c r="F155" i="1"/>
  <c r="E155" i="1"/>
  <c r="H161" i="1"/>
  <c r="G161" i="1"/>
  <c r="F161" i="1"/>
  <c r="E161" i="1"/>
  <c r="H165" i="1"/>
  <c r="G165" i="1"/>
  <c r="F165" i="1"/>
  <c r="E165" i="1"/>
  <c r="H184" i="1"/>
  <c r="E184" i="1"/>
  <c r="G184" i="1"/>
  <c r="F184" i="1"/>
  <c r="G195" i="1"/>
  <c r="H195" i="1"/>
  <c r="F195" i="1"/>
  <c r="E195" i="1"/>
  <c r="H207" i="1"/>
  <c r="F207" i="1"/>
  <c r="G207" i="1"/>
  <c r="E207" i="1"/>
  <c r="F17" i="1"/>
  <c r="H17" i="1"/>
  <c r="G17" i="1"/>
  <c r="E17" i="1"/>
  <c r="F21" i="1"/>
  <c r="H21" i="1"/>
  <c r="G21" i="1"/>
  <c r="E21" i="1"/>
  <c r="H25" i="1"/>
  <c r="E25" i="1"/>
  <c r="G25" i="1"/>
  <c r="F25" i="1"/>
  <c r="F33" i="1"/>
  <c r="H33" i="1"/>
  <c r="G33" i="1"/>
  <c r="E33" i="1"/>
  <c r="G37" i="1"/>
  <c r="F37" i="1"/>
  <c r="H37" i="1"/>
  <c r="E37" i="1"/>
  <c r="H40" i="1"/>
  <c r="E40" i="1"/>
  <c r="F40" i="1"/>
  <c r="G40" i="1"/>
  <c r="H44" i="1"/>
  <c r="F44" i="1"/>
  <c r="G44" i="1"/>
  <c r="E44" i="1"/>
  <c r="G46" i="1"/>
  <c r="H46" i="1"/>
  <c r="F46" i="1"/>
  <c r="E46" i="1"/>
  <c r="F57" i="1"/>
  <c r="H57" i="1"/>
  <c r="E57" i="1"/>
  <c r="G57" i="1"/>
  <c r="H60" i="1"/>
  <c r="E60" i="1"/>
  <c r="G60" i="1"/>
  <c r="F60" i="1"/>
  <c r="H72" i="1"/>
  <c r="E72" i="1"/>
  <c r="F72" i="1"/>
  <c r="G72" i="1"/>
  <c r="H144" i="1"/>
  <c r="G144" i="1"/>
  <c r="F144" i="1"/>
  <c r="E144" i="1"/>
  <c r="H152" i="1"/>
  <c r="F152" i="1"/>
  <c r="G152" i="1"/>
  <c r="E152" i="1"/>
  <c r="H156" i="1"/>
  <c r="G156" i="1"/>
  <c r="F156" i="1"/>
  <c r="E156" i="1"/>
  <c r="G164" i="1"/>
  <c r="E164" i="1"/>
  <c r="H164" i="1"/>
  <c r="F164" i="1"/>
  <c r="G167" i="1"/>
  <c r="E167" i="1"/>
  <c r="H167" i="1"/>
  <c r="F167" i="1"/>
  <c r="G172" i="1"/>
  <c r="E172" i="1"/>
  <c r="H172" i="1"/>
  <c r="F172" i="1"/>
  <c r="G173" i="1"/>
  <c r="E173" i="1"/>
  <c r="H173" i="1"/>
  <c r="F173" i="1"/>
  <c r="G177" i="1"/>
  <c r="E177" i="1"/>
  <c r="H177" i="1"/>
  <c r="F177" i="1"/>
  <c r="G181" i="1"/>
  <c r="F181" i="1"/>
  <c r="H181" i="1"/>
  <c r="E181" i="1"/>
  <c r="G189" i="1"/>
  <c r="E189" i="1"/>
  <c r="H189" i="1"/>
  <c r="F189" i="1"/>
  <c r="F192" i="1"/>
  <c r="H192" i="1"/>
  <c r="G192" i="1"/>
  <c r="E192" i="1"/>
  <c r="H196" i="1"/>
  <c r="E196" i="1"/>
  <c r="G196" i="1"/>
  <c r="F196" i="1"/>
  <c r="F198" i="1"/>
  <c r="E198" i="1"/>
  <c r="H198" i="1"/>
  <c r="G198" i="1"/>
  <c r="F200" i="1"/>
  <c r="E200" i="1"/>
  <c r="H200" i="1"/>
  <c r="G200" i="1"/>
  <c r="H202" i="1"/>
  <c r="F202" i="1"/>
  <c r="E202" i="1"/>
  <c r="G202" i="1"/>
  <c r="H204" i="1"/>
  <c r="F204" i="1"/>
  <c r="G204" i="1"/>
  <c r="E204" i="1"/>
  <c r="H211" i="1"/>
  <c r="G211" i="1"/>
  <c r="F211" i="1"/>
  <c r="E211" i="1"/>
  <c r="H82" i="1"/>
  <c r="G82" i="1"/>
  <c r="F82" i="1"/>
  <c r="E82" i="1"/>
  <c r="E14" i="1"/>
  <c r="H14" i="1"/>
  <c r="F14" i="1"/>
  <c r="G14" i="1"/>
  <c r="F22" i="1"/>
  <c r="H22" i="1"/>
  <c r="G22" i="1"/>
  <c r="E22" i="1"/>
  <c r="H26" i="1"/>
  <c r="E26" i="1"/>
  <c r="F26" i="1"/>
  <c r="G26" i="1"/>
  <c r="H31" i="1"/>
  <c r="F31" i="1"/>
  <c r="G31" i="1"/>
  <c r="E31" i="1"/>
  <c r="H39" i="1"/>
  <c r="F39" i="1"/>
  <c r="E39" i="1"/>
  <c r="G39" i="1"/>
  <c r="G41" i="1"/>
  <c r="E41" i="1"/>
  <c r="H41" i="1"/>
  <c r="F41" i="1"/>
  <c r="G45" i="1"/>
  <c r="E45" i="1"/>
  <c r="H45" i="1"/>
  <c r="F45" i="1"/>
  <c r="F52" i="1"/>
  <c r="G52" i="1"/>
  <c r="H52" i="1"/>
  <c r="E52" i="1"/>
  <c r="G53" i="1"/>
  <c r="H53" i="1"/>
  <c r="E53" i="1"/>
  <c r="F53" i="1"/>
  <c r="H56" i="1"/>
  <c r="F56" i="1"/>
  <c r="G56" i="1"/>
  <c r="E56" i="1"/>
  <c r="F64" i="1"/>
  <c r="H64" i="1"/>
  <c r="E64" i="1"/>
  <c r="G64" i="1"/>
  <c r="F66" i="1"/>
  <c r="E66" i="1"/>
  <c r="H66" i="1"/>
  <c r="G66" i="1"/>
  <c r="G68" i="1"/>
  <c r="H68" i="1"/>
  <c r="F68" i="1"/>
  <c r="E68" i="1"/>
  <c r="H70" i="1"/>
  <c r="G70" i="1"/>
  <c r="F70" i="1"/>
  <c r="E70" i="1"/>
  <c r="F73" i="1"/>
  <c r="G73" i="1"/>
  <c r="H73" i="1"/>
  <c r="E73" i="1"/>
  <c r="H143" i="1"/>
  <c r="G143" i="1"/>
  <c r="F143" i="1"/>
  <c r="E143" i="1"/>
  <c r="F147" i="1"/>
  <c r="H147" i="1"/>
  <c r="E147" i="1"/>
  <c r="G147" i="1"/>
  <c r="H151" i="1"/>
  <c r="G151" i="1"/>
  <c r="F151" i="1"/>
  <c r="E151" i="1"/>
  <c r="H157" i="1"/>
  <c r="G157" i="1"/>
  <c r="F157" i="1"/>
  <c r="E157" i="1"/>
  <c r="F168" i="1"/>
  <c r="H168" i="1"/>
  <c r="G168" i="1"/>
  <c r="E168" i="1"/>
  <c r="H170" i="1"/>
  <c r="E170" i="1"/>
  <c r="G170" i="1"/>
  <c r="F170" i="1"/>
  <c r="G176" i="1"/>
  <c r="E176" i="1"/>
  <c r="H176" i="1"/>
  <c r="F176" i="1"/>
  <c r="H188" i="1"/>
  <c r="G188" i="1"/>
  <c r="E188" i="1"/>
  <c r="F188" i="1"/>
  <c r="F190" i="1"/>
  <c r="E190" i="1"/>
  <c r="H190" i="1"/>
  <c r="G190" i="1"/>
  <c r="G194" i="1"/>
  <c r="E194" i="1"/>
  <c r="H194" i="1"/>
  <c r="F194" i="1"/>
  <c r="H210" i="1"/>
  <c r="G210" i="1"/>
  <c r="F210" i="1"/>
  <c r="E210" i="1"/>
  <c r="F15" i="1"/>
  <c r="E15" i="1"/>
  <c r="H15" i="1"/>
  <c r="G15" i="1"/>
  <c r="H18" i="1"/>
  <c r="F18" i="1"/>
  <c r="G18" i="1"/>
  <c r="E18" i="1"/>
  <c r="E23" i="1"/>
  <c r="G23" i="1"/>
  <c r="H23" i="1"/>
  <c r="F23" i="1"/>
  <c r="F27" i="1"/>
  <c r="H27" i="1"/>
  <c r="G27" i="1"/>
  <c r="E27" i="1"/>
  <c r="E30" i="1"/>
  <c r="G30" i="1"/>
  <c r="H30" i="1"/>
  <c r="F30" i="1"/>
  <c r="E32" i="1"/>
  <c r="G32" i="1"/>
  <c r="H32" i="1"/>
  <c r="F32" i="1"/>
  <c r="G35" i="1"/>
  <c r="E35" i="1"/>
  <c r="H35" i="1"/>
  <c r="F35" i="1"/>
  <c r="G42" i="1"/>
  <c r="E42" i="1"/>
  <c r="F42" i="1"/>
  <c r="H42" i="1"/>
  <c r="H47" i="1"/>
  <c r="G47" i="1"/>
  <c r="E47" i="1"/>
  <c r="F47" i="1"/>
  <c r="E50" i="1"/>
  <c r="G50" i="1"/>
  <c r="F50" i="1"/>
  <c r="H50" i="1"/>
  <c r="H55" i="1"/>
  <c r="G55" i="1"/>
  <c r="E55" i="1"/>
  <c r="F55" i="1"/>
  <c r="E58" i="1"/>
  <c r="H58" i="1"/>
  <c r="F58" i="1"/>
  <c r="G58" i="1"/>
  <c r="G61" i="1"/>
  <c r="H61" i="1"/>
  <c r="F61" i="1"/>
  <c r="E61" i="1"/>
  <c r="F65" i="1"/>
  <c r="G65" i="1"/>
  <c r="E65" i="1"/>
  <c r="H65" i="1"/>
  <c r="H69" i="1"/>
  <c r="F69" i="1"/>
  <c r="G69" i="1"/>
  <c r="E69" i="1"/>
  <c r="E75" i="1"/>
  <c r="F75" i="1"/>
  <c r="H75" i="1"/>
  <c r="G75" i="1"/>
  <c r="G76" i="1"/>
  <c r="E76" i="1"/>
  <c r="H76" i="1"/>
  <c r="F76" i="1"/>
  <c r="G77" i="1"/>
  <c r="F77" i="1"/>
  <c r="H77" i="1"/>
  <c r="E77" i="1"/>
  <c r="G78" i="1"/>
  <c r="H78" i="1"/>
  <c r="E78" i="1"/>
  <c r="F78" i="1"/>
  <c r="H79" i="1"/>
  <c r="E79" i="1"/>
  <c r="G79" i="1"/>
  <c r="F79" i="1"/>
  <c r="F80" i="1"/>
  <c r="H80" i="1"/>
  <c r="E80" i="1"/>
  <c r="G80" i="1"/>
  <c r="G81" i="1"/>
  <c r="E81" i="1"/>
  <c r="H81" i="1"/>
  <c r="F81" i="1"/>
  <c r="H83" i="1"/>
  <c r="G83" i="1"/>
  <c r="F83" i="1"/>
  <c r="E83" i="1"/>
  <c r="E84" i="1"/>
  <c r="G84" i="1"/>
  <c r="H84" i="1"/>
  <c r="F84" i="1"/>
  <c r="F85" i="1"/>
  <c r="H85" i="1"/>
  <c r="E85" i="1"/>
  <c r="G85" i="1"/>
  <c r="E86" i="1"/>
  <c r="G86" i="1"/>
  <c r="F86" i="1"/>
  <c r="H86" i="1"/>
  <c r="F87" i="1"/>
  <c r="H87" i="1"/>
  <c r="G87" i="1"/>
  <c r="E87" i="1"/>
  <c r="E88" i="1"/>
  <c r="H88" i="1"/>
  <c r="G88" i="1"/>
  <c r="F88" i="1"/>
  <c r="H89" i="1"/>
  <c r="G89" i="1"/>
  <c r="E89" i="1"/>
  <c r="F89" i="1"/>
  <c r="H90" i="1"/>
  <c r="G90" i="1"/>
  <c r="E90" i="1"/>
  <c r="F90" i="1"/>
  <c r="E91" i="1"/>
  <c r="H91" i="1"/>
  <c r="F91" i="1"/>
  <c r="G91" i="1"/>
  <c r="G92" i="1"/>
  <c r="E92" i="1"/>
  <c r="F92" i="1"/>
  <c r="H92" i="1"/>
  <c r="G93" i="1"/>
  <c r="F93" i="1"/>
  <c r="E93" i="1"/>
  <c r="H93" i="1"/>
  <c r="G94" i="1"/>
  <c r="H94" i="1"/>
  <c r="E94" i="1"/>
  <c r="F94" i="1"/>
  <c r="E95" i="1"/>
  <c r="H95" i="1"/>
  <c r="F95" i="1"/>
  <c r="G95" i="1"/>
  <c r="G96" i="1"/>
  <c r="F96" i="1"/>
  <c r="H96" i="1"/>
  <c r="E96" i="1"/>
  <c r="H97" i="1"/>
  <c r="G97" i="1"/>
  <c r="E97" i="1"/>
  <c r="F97" i="1"/>
  <c r="E98" i="1"/>
  <c r="G98" i="1"/>
  <c r="H98" i="1"/>
  <c r="F98" i="1"/>
  <c r="G99" i="1"/>
  <c r="F99" i="1"/>
  <c r="H99" i="1"/>
  <c r="E99" i="1"/>
  <c r="E100" i="1"/>
  <c r="G100" i="1"/>
  <c r="F100" i="1"/>
  <c r="H100" i="1"/>
  <c r="E101" i="1"/>
  <c r="H101" i="1"/>
  <c r="G101" i="1"/>
  <c r="F101" i="1"/>
  <c r="G102" i="1"/>
  <c r="F102" i="1"/>
  <c r="E102" i="1"/>
  <c r="H102" i="1"/>
  <c r="F103" i="1"/>
  <c r="H103" i="1"/>
  <c r="G103" i="1"/>
  <c r="E103" i="1"/>
  <c r="F104" i="1"/>
  <c r="H104" i="1"/>
  <c r="G104" i="1"/>
  <c r="E104" i="1"/>
  <c r="H105" i="1"/>
  <c r="E105" i="1"/>
  <c r="G105" i="1"/>
  <c r="F105" i="1"/>
  <c r="E106" i="1"/>
  <c r="H106" i="1"/>
  <c r="F106" i="1"/>
  <c r="G106" i="1"/>
  <c r="G107" i="1"/>
  <c r="H107" i="1"/>
  <c r="E107" i="1"/>
  <c r="F107" i="1"/>
  <c r="E108" i="1"/>
  <c r="H108" i="1"/>
  <c r="F108" i="1"/>
  <c r="G108" i="1"/>
  <c r="G109" i="1"/>
  <c r="H109" i="1"/>
  <c r="E109" i="1"/>
  <c r="F109" i="1"/>
  <c r="H110" i="1"/>
  <c r="F110" i="1"/>
  <c r="G110" i="1"/>
  <c r="E110" i="1"/>
  <c r="H111" i="1"/>
  <c r="G111" i="1"/>
  <c r="F111" i="1"/>
  <c r="E111" i="1"/>
  <c r="H112" i="1"/>
  <c r="G112" i="1"/>
  <c r="F112" i="1"/>
  <c r="E112" i="1"/>
  <c r="H113" i="1"/>
  <c r="G113" i="1"/>
  <c r="F113" i="1"/>
  <c r="E113" i="1"/>
  <c r="H114" i="1"/>
  <c r="G114" i="1"/>
  <c r="F114" i="1"/>
  <c r="E114" i="1"/>
  <c r="H115" i="1"/>
  <c r="G115" i="1"/>
  <c r="F115" i="1"/>
  <c r="E115" i="1"/>
  <c r="H116" i="1"/>
  <c r="G116" i="1"/>
  <c r="F116" i="1"/>
  <c r="E116" i="1"/>
  <c r="H117" i="1"/>
  <c r="G117" i="1"/>
  <c r="F117" i="1"/>
  <c r="E117" i="1"/>
  <c r="H118" i="1"/>
  <c r="G118" i="1"/>
  <c r="F118" i="1"/>
  <c r="E118" i="1"/>
  <c r="H119" i="1"/>
  <c r="G119" i="1"/>
  <c r="F119" i="1"/>
  <c r="E119" i="1"/>
  <c r="H120" i="1"/>
  <c r="G120" i="1"/>
  <c r="F120" i="1"/>
  <c r="E120" i="1"/>
  <c r="H121" i="1"/>
  <c r="G121" i="1"/>
  <c r="F121" i="1"/>
  <c r="E121" i="1"/>
  <c r="H122" i="1"/>
  <c r="G122" i="1"/>
  <c r="F122" i="1"/>
  <c r="E122" i="1"/>
  <c r="H123" i="1"/>
  <c r="G123" i="1"/>
  <c r="F123" i="1"/>
  <c r="E123" i="1"/>
  <c r="H124" i="1"/>
  <c r="G124" i="1"/>
  <c r="F124" i="1"/>
  <c r="E124" i="1"/>
  <c r="H125" i="1"/>
  <c r="G125" i="1"/>
  <c r="F125" i="1"/>
  <c r="E125" i="1"/>
  <c r="H126" i="1"/>
  <c r="G126" i="1"/>
  <c r="F126" i="1"/>
  <c r="E126" i="1"/>
  <c r="H127" i="1"/>
  <c r="G127" i="1"/>
  <c r="F127" i="1"/>
  <c r="E127" i="1"/>
  <c r="H128" i="1"/>
  <c r="G128" i="1"/>
  <c r="F128" i="1"/>
  <c r="E128" i="1"/>
  <c r="H129" i="1"/>
  <c r="G129" i="1"/>
  <c r="F129" i="1"/>
  <c r="E129" i="1"/>
  <c r="H130" i="1"/>
  <c r="G130" i="1"/>
  <c r="F130" i="1"/>
  <c r="E130" i="1"/>
  <c r="H131" i="1"/>
  <c r="G131" i="1"/>
  <c r="F131" i="1"/>
  <c r="E131" i="1"/>
  <c r="H132" i="1"/>
  <c r="G132" i="1"/>
  <c r="F132" i="1"/>
  <c r="E132" i="1"/>
  <c r="H133" i="1"/>
  <c r="G133" i="1"/>
  <c r="F133" i="1"/>
  <c r="E133" i="1"/>
  <c r="H134" i="1"/>
  <c r="G134" i="1"/>
  <c r="F134" i="1"/>
  <c r="E134" i="1"/>
  <c r="H135" i="1"/>
  <c r="G135" i="1"/>
  <c r="F135" i="1"/>
  <c r="E135" i="1"/>
  <c r="H136" i="1"/>
  <c r="G136" i="1"/>
  <c r="F136" i="1"/>
  <c r="E136" i="1"/>
  <c r="H137" i="1"/>
  <c r="G137" i="1"/>
  <c r="F137" i="1"/>
  <c r="E137" i="1"/>
  <c r="H138" i="1"/>
  <c r="G138" i="1"/>
  <c r="F138" i="1"/>
  <c r="E138" i="1"/>
  <c r="H139" i="1"/>
  <c r="G139" i="1"/>
  <c r="F139" i="1"/>
  <c r="E139" i="1"/>
  <c r="H140" i="1"/>
  <c r="G140" i="1"/>
  <c r="F140" i="1"/>
  <c r="E140" i="1"/>
  <c r="H141" i="1"/>
  <c r="G141" i="1"/>
  <c r="F141" i="1"/>
  <c r="E141" i="1"/>
  <c r="H142" i="1"/>
  <c r="G142" i="1"/>
  <c r="F142" i="1"/>
  <c r="E142" i="1"/>
  <c r="F28" i="1"/>
  <c r="H28" i="1"/>
  <c r="E28" i="1"/>
  <c r="G28" i="1"/>
  <c r="E38" i="1"/>
  <c r="G38" i="1"/>
  <c r="H38" i="1"/>
  <c r="F38" i="1"/>
  <c r="F59" i="1"/>
  <c r="H59" i="1"/>
  <c r="G59" i="1"/>
  <c r="E59" i="1"/>
  <c r="F71" i="1"/>
  <c r="H71" i="1"/>
  <c r="G71" i="1"/>
  <c r="E71" i="1"/>
  <c r="G149" i="1"/>
  <c r="H149" i="1"/>
  <c r="F149" i="1"/>
  <c r="E149" i="1"/>
  <c r="H158" i="1"/>
  <c r="G158" i="1"/>
  <c r="F158" i="1"/>
  <c r="E158" i="1"/>
  <c r="G163" i="1"/>
  <c r="E163" i="1"/>
  <c r="H163" i="1"/>
  <c r="F163" i="1"/>
  <c r="G179" i="1"/>
  <c r="H179" i="1"/>
  <c r="E179" i="1"/>
  <c r="F179" i="1"/>
  <c r="H182" i="1"/>
  <c r="F182" i="1"/>
  <c r="G182" i="1"/>
  <c r="E182" i="1"/>
  <c r="G199" i="1"/>
  <c r="H199" i="1"/>
  <c r="F199" i="1"/>
  <c r="E199" i="1"/>
  <c r="H209" i="1"/>
  <c r="G209" i="1"/>
  <c r="F209" i="1"/>
  <c r="E209" i="1"/>
  <c r="H20" i="1"/>
  <c r="E20" i="1"/>
  <c r="G20" i="1"/>
  <c r="F20" i="1"/>
  <c r="G63" i="1"/>
  <c r="E63" i="1"/>
  <c r="H63" i="1"/>
  <c r="F63" i="1"/>
  <c r="F74" i="1"/>
  <c r="G74" i="1"/>
  <c r="H74" i="1"/>
  <c r="E74" i="1"/>
  <c r="H154" i="1"/>
  <c r="G154" i="1"/>
  <c r="F154" i="1"/>
  <c r="E154" i="1"/>
  <c r="H159" i="1"/>
  <c r="G159" i="1"/>
  <c r="F159" i="1"/>
  <c r="E159" i="1"/>
  <c r="E162" i="1"/>
  <c r="H162" i="1"/>
  <c r="G162" i="1"/>
  <c r="F162" i="1"/>
  <c r="E166" i="1"/>
  <c r="H166" i="1"/>
  <c r="G166" i="1"/>
  <c r="F166" i="1"/>
  <c r="G175" i="1"/>
  <c r="E175" i="1"/>
  <c r="F175" i="1"/>
  <c r="H175" i="1"/>
  <c r="H180" i="1"/>
  <c r="E180" i="1"/>
  <c r="F180" i="1"/>
  <c r="G180" i="1"/>
  <c r="G186" i="1"/>
  <c r="F186" i="1"/>
  <c r="H186" i="1"/>
  <c r="E186" i="1"/>
  <c r="F206" i="1"/>
  <c r="H206" i="1"/>
  <c r="G206" i="1"/>
  <c r="E206" i="1"/>
  <c r="H12" i="1"/>
  <c r="G12" i="1"/>
  <c r="F12" i="1"/>
  <c r="E12" i="1"/>
  <c r="H13" i="1"/>
  <c r="G13" i="1"/>
  <c r="E13" i="1"/>
  <c r="F13" i="1"/>
  <c r="E16" i="1"/>
  <c r="F16" i="1"/>
  <c r="G16" i="1"/>
  <c r="H16" i="1"/>
  <c r="G19" i="1"/>
  <c r="H19" i="1"/>
  <c r="E19" i="1"/>
  <c r="F19" i="1"/>
  <c r="G24" i="1"/>
  <c r="E24" i="1"/>
  <c r="H24" i="1"/>
  <c r="F24" i="1"/>
  <c r="H29" i="1"/>
  <c r="G29" i="1"/>
  <c r="E29" i="1"/>
  <c r="F29" i="1"/>
  <c r="H34" i="1"/>
  <c r="E34" i="1"/>
  <c r="G34" i="1"/>
  <c r="F34" i="1"/>
  <c r="H43" i="1"/>
  <c r="F43" i="1"/>
  <c r="G43" i="1"/>
  <c r="E43" i="1"/>
  <c r="H48" i="1"/>
  <c r="E48" i="1"/>
  <c r="G48" i="1"/>
  <c r="F48" i="1"/>
  <c r="G49" i="1"/>
  <c r="E49" i="1"/>
  <c r="H49" i="1"/>
  <c r="F49" i="1"/>
  <c r="G51" i="1"/>
  <c r="E51" i="1"/>
  <c r="H51" i="1"/>
  <c r="F51" i="1"/>
  <c r="H54" i="1"/>
  <c r="G54" i="1"/>
  <c r="F54" i="1"/>
  <c r="E54" i="1"/>
  <c r="E62" i="1"/>
  <c r="G62" i="1"/>
  <c r="H62" i="1"/>
  <c r="F62" i="1"/>
  <c r="H145" i="1"/>
  <c r="G145" i="1"/>
  <c r="F145" i="1"/>
  <c r="E145" i="1"/>
  <c r="E148" i="1"/>
  <c r="H148" i="1"/>
  <c r="G148" i="1"/>
  <c r="F148" i="1"/>
  <c r="H150" i="1"/>
  <c r="F150" i="1"/>
  <c r="E150" i="1"/>
  <c r="G150" i="1"/>
  <c r="G153" i="1"/>
  <c r="E153" i="1"/>
  <c r="H153" i="1"/>
  <c r="F153" i="1"/>
  <c r="H160" i="1"/>
  <c r="G160" i="1"/>
  <c r="F160" i="1"/>
  <c r="E160" i="1"/>
  <c r="F169" i="1"/>
  <c r="H169" i="1"/>
  <c r="G169" i="1"/>
  <c r="E169" i="1"/>
  <c r="E171" i="1"/>
  <c r="G171" i="1"/>
  <c r="H171" i="1"/>
  <c r="F171" i="1"/>
  <c r="F174" i="1"/>
  <c r="E174" i="1"/>
  <c r="H174" i="1"/>
  <c r="G174" i="1"/>
  <c r="F178" i="1"/>
  <c r="H178" i="1"/>
  <c r="G178" i="1"/>
  <c r="E178" i="1"/>
  <c r="H183" i="1"/>
  <c r="F183" i="1"/>
  <c r="E183" i="1"/>
  <c r="G183" i="1"/>
  <c r="G185" i="1"/>
  <c r="E185" i="1"/>
  <c r="H185" i="1"/>
  <c r="F185" i="1"/>
  <c r="H187" i="1"/>
  <c r="G187" i="1"/>
  <c r="F187" i="1"/>
  <c r="E187" i="1"/>
  <c r="G191" i="1"/>
  <c r="H191" i="1"/>
  <c r="E191" i="1"/>
  <c r="F191" i="1"/>
  <c r="H193" i="1"/>
  <c r="F193" i="1"/>
  <c r="E193" i="1"/>
  <c r="G193" i="1"/>
  <c r="G197" i="1"/>
  <c r="E197" i="1"/>
  <c r="H197" i="1"/>
  <c r="F197" i="1"/>
  <c r="F201" i="1"/>
  <c r="H201" i="1"/>
  <c r="G201" i="1"/>
  <c r="E201" i="1"/>
  <c r="H203" i="1"/>
  <c r="G203" i="1"/>
  <c r="F203" i="1"/>
  <c r="E203" i="1"/>
  <c r="H205" i="1"/>
  <c r="G205" i="1"/>
  <c r="E205" i="1"/>
  <c r="F205" i="1"/>
  <c r="H208" i="1"/>
  <c r="G208" i="1"/>
  <c r="F208" i="1"/>
  <c r="E20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<sst xmlns="http://schemas.openxmlformats.org/spreadsheetml/2006/main" count="786" uniqueCount="591">
  <si>
    <t>AVS  DOCUMENT  REPOSITORY</t>
  </si>
  <si>
    <t>FILTER BY SCOPE</t>
  </si>
  <si>
    <t>SEARCH</t>
  </si>
  <si>
    <t>All</t>
  </si>
  <si>
    <t>WHEN SEARCHING</t>
  </si>
  <si>
    <t>Type any words: name, type, scope, keywords or description.</t>
  </si>
  <si>
    <t>DOCUMENTS BY SCOPE  (summary)</t>
  </si>
  <si>
    <t>SCOPE</t>
  </si>
  <si>
    <t>DOCS</t>
  </si>
  <si>
    <t>DOCUMENT NAME</t>
  </si>
  <si>
    <t>TYPE</t>
  </si>
  <si>
    <t>DESCRIPTION</t>
  </si>
  <si>
    <t>This list is a count, not a control — a cell cannot be clicked to filter anything. Use the Scope box above.
WANT ONE-CLICK BUTTONS?
1.  Open the Repository sheet
2.  Click cell A5 — a document row. The Table Design tab must appear in the ribbon; if it does not, you are not inside the table.
3.  Table Design ▸ Insert Slicer
4.  Tick Scope Group (not Scope) ▸ OK
5.  Optional: click the slicer, Ctrl+X, come back here, Ctrl+V — drop it in the empty space below.
If Insert ▸ Slicer opens an Existing Connections box instead, the cursor was outside the table — go back to step 2.
Pick Scope Group because it is tidied: trimmed, and blanks shown as (Unspecified). This sheet already reacts to the slicer — nothing else to change.
A slicer shows scope names only, never counts — Excel has no option for that. The list above fills that gap: its numbers count documents a filter leaves showing, so they follow the slicer live. Sit the slicer beside the list rather than over it.
A slicer clears itself in one click — the funnel-with-a-cross icon in its top-right corner.
No formula can clear a slicer for you when you start typing. But set WHEN SEARCHING to 'Search all scopes' and a search simply ignores the slicer and the Scope box instead — same result, and the slicer stays put for when you clear the search.</t>
  </si>
  <si>
    <t>Repository — source of truth</t>
  </si>
  <si>
    <t>Add, edit or delete rows anywhere in this table. The Index sheet picks up new documents and new scopes automatically. Columns G-I are hidden helper columns maintained by Excel — do not type over them.</t>
  </si>
  <si>
    <t>Design</t>
  </si>
  <si>
    <t>HLD</t>
  </si>
  <si>
    <t>AVS Platform High Level Design</t>
  </si>
  <si>
    <t>https://contoso.sharepoint.com/sites/AVSProgram/Shared%20Documents/Design/AVS-Platform-High-Level-Design.docx</t>
  </si>
  <si>
    <t>End-to-end high level design for the Azure VMware Solution private cloud landing zone, covering region selection, SDDC sizing and connectivity.</t>
  </si>
  <si>
    <t>AVS, HLD, high level design, landing zone, SDDC, private cloud, architecture</t>
  </si>
  <si>
    <t>LLD</t>
  </si>
  <si>
    <t>AVS Private Cloud Low Level Design</t>
  </si>
  <si>
    <t>https://contoso.sharepoint.com/sites/AVSProgram/Shared%20Documents/Design/AVS-Private-Cloud-Low-Level-Design.docx</t>
  </si>
  <si>
    <t>Detailed build parameters for the production private cloud: cluster layout, host SKU, management network CIDRs and vCenter configuration.</t>
  </si>
  <si>
    <t>LLD, low level design, build, cluster, AV36, vCenter, SDDC</t>
  </si>
  <si>
    <t>Architecture</t>
  </si>
  <si>
    <t>AVS Reference Architecture Overview</t>
  </si>
  <si>
    <t>https://contoso.sharepoint.com/sites/AVSProgram/Shared%20Documents/Design/AVS-Reference-Architecture-Overview.pdf</t>
  </si>
  <si>
    <t>Reference architecture describing how AVS integrates with Azure native services, ExpressRoute Global Reach and on-premises vSphere.</t>
  </si>
  <si>
    <t>reference architecture, ExpressRoute, Global Reach, integration, vSphere</t>
  </si>
  <si>
    <t>Diagram</t>
  </si>
  <si>
    <t>AVS Logical Architecture Diagram</t>
  </si>
  <si>
    <t>https://contoso.sharepoint.com/sites/AVSProgram/Shared%20Documents/Design/AVS-Logical-Architecture-Diagram.vsdx</t>
  </si>
  <si>
    <t>Visio source for the logical architecture diagram used across the programme design authority pack.</t>
  </si>
  <si>
    <t>diagram, visio, logical architecture, design authority</t>
  </si>
  <si>
    <t>Decision Record</t>
  </si>
  <si>
    <t>ADR-014 Host SKU Selection AV36P vs AV52</t>
  </si>
  <si>
    <t>https://contoso.sharepoint.com/sites/AVSProgram/Shared%20Documents/Design/ADR-014-Host-SKU-Selection-AV36P-vs-AV52.docx</t>
  </si>
  <si>
    <t>Architecture decision record capturing the comparison and final selection of the AV36P host SKU for the production estate.</t>
  </si>
  <si>
    <t>ADR, decision record, AV36P, AV52, host SKU, sizing</t>
  </si>
  <si>
    <t>Assessment</t>
  </si>
  <si>
    <t>AVS Sizing and Capacity Assessment</t>
  </si>
  <si>
    <t>https://contoso.sharepoint.com/sites/AVSProgram/Shared%20Documents/Design/AVS-Sizing-and-Capacity-Assessment.xlsx</t>
  </si>
  <si>
    <t>Capacity model translating the discovered on-premises estate into required AVS node counts, including growth and slack assumptions.</t>
  </si>
  <si>
    <t>sizing, capacity, assessment, node count, growth, RVTools</t>
  </si>
  <si>
    <t>Whitepaper</t>
  </si>
  <si>
    <t>Stretched Clusters for AVS Explained</t>
  </si>
  <si>
    <t>https://contoso.sharepoint.com/sites/AVSProgram/Shared%20Documents/Design/Stretched-Clusters-for-AVS-Explained.pdf</t>
  </si>
  <si>
    <t>Whitepaper on stretched cluster availability zones in AVS, the SLA implications and when the pattern is appropriate.</t>
  </si>
  <si>
    <t>stretched cluster, availability zone, SLA, vSAN, resilience</t>
  </si>
  <si>
    <t>Guide</t>
  </si>
  <si>
    <t>AVS Landing Zone Accelerator Walkthrough</t>
  </si>
  <si>
    <t>https://contoso.sharepoint.com/sites/AVSProgram/Shared%20Documents/Design/AVS-Landing-Zone-Accelerator-Walkthrough.docx</t>
  </si>
  <si>
    <t>Walkthrough of the Microsoft AVS landing zone accelerator and the deltas applied for this programme.</t>
  </si>
  <si>
    <t>landing zone, accelerator, CAF, enterprise scale, bicep</t>
  </si>
  <si>
    <t>Hybrid Connectivity High Level Design</t>
  </si>
  <si>
    <t>https://contoso.sharepoint.com/sites/AVSProgram/Shared%20Documents/Design/Hybrid-Connectivity-High-Level-Design.docx</t>
  </si>
  <si>
    <t>High level design for hybrid connectivity between on-premises datacentres, Azure regions and the AVS private clouds.</t>
  </si>
  <si>
    <t>hybrid, connectivity, HLD, ExpressRoute, VPN, MPLS</t>
  </si>
  <si>
    <t>Template</t>
  </si>
  <si>
    <t>Design Document Template</t>
  </si>
  <si>
    <t>https://contoso.sharepoint.com/sites/AVSProgram/Shared%20Documents/Design/Design-Document-Template.docx</t>
  </si>
  <si>
    <t>Programme standard template for HLD and LLD deliverables including the mandatory design decision and assumption tables.</t>
  </si>
  <si>
    <t>template, HLD, LLD, standard, documentation</t>
  </si>
  <si>
    <t>Report</t>
  </si>
  <si>
    <t>AVS Well Architected Review Findings</t>
  </si>
  <si>
    <t>https://contoso.sharepoint.com/sites/AVSProgram/Shared%20Documents/Design/AVS-Well-Architected-Review-Findings.pdf</t>
  </si>
  <si>
    <t>Findings and prioritised recommendations from the Well Architected Framework review of the AVS platform.</t>
  </si>
  <si>
    <t>WAF, well architected, review, findings, recommendations</t>
  </si>
  <si>
    <t>Migration</t>
  </si>
  <si>
    <t>Strategy</t>
  </si>
  <si>
    <t>AVS Migration Strategy and Approach</t>
  </si>
  <si>
    <t>https://contoso.sharepoint.com/sites/AVSProgram/Shared%20Documents/Migration/AVS-Migration-Strategy-and-Approach.docx</t>
  </si>
  <si>
    <t>Overall migration strategy covering wave planning, the 6R disposition model and the cutover governance model.</t>
  </si>
  <si>
    <t>migration, strategy, waves, 6R, disposition, cutover</t>
  </si>
  <si>
    <t>Runbook</t>
  </si>
  <si>
    <t>HCX Bulk Migration Runbook</t>
  </si>
  <si>
    <t>https://contoso.sharepoint.com/sites/AVSProgram/Shared%20Documents/Migration/HCX-Bulk-Migration-Runbook.docx</t>
  </si>
  <si>
    <t>Step by step runbook for executing an HCX bulk migration wave, including pre-checks, execution and post-migration validation.</t>
  </si>
  <si>
    <t>HCX, bulk migration, runbook, wave, cutover, vMotion</t>
  </si>
  <si>
    <t>HCX vMotion Live Migration Runbook</t>
  </si>
  <si>
    <t>https://contoso.sharepoint.com/sites/AVSProgram/Shared%20Documents/Migration/HCX-vMotion-Live-Migration-Runbook.docx</t>
  </si>
  <si>
    <t>Runbook for zero downtime live migration of tier 1 workloads using HCX vMotion.</t>
  </si>
  <si>
    <t>HCX, vMotion, live migration, zero downtime, tier 1</t>
  </si>
  <si>
    <t>VMware HCX Deployment and Configuration Guide</t>
  </si>
  <si>
    <t>https://contoso.sharepoint.com/sites/AVSProgram/Shared%20Documents/Migration/VMware-HCX-Deployment-and-Configuration-Guide.docx</t>
  </si>
  <si>
    <t>Deployment guide for HCX Connector and HCX Cloud Manager, service mesh creation and network extension setup.</t>
  </si>
  <si>
    <t>HCX, service mesh, network extension, connector, cloud manager, deployment</t>
  </si>
  <si>
    <t>Checklist</t>
  </si>
  <si>
    <t>Migration Wave Readiness Checklist</t>
  </si>
  <si>
    <t>https://contoso.sharepoint.com/sites/AVSProgram/Shared%20Documents/Migration/Migration-Wave-Readiness-Checklist.xlsx</t>
  </si>
  <si>
    <t>Go/no-go checklist completed before each migration wave is authorised to proceed.</t>
  </si>
  <si>
    <t>checklist, readiness, wave, go no go, gating</t>
  </si>
  <si>
    <t>Plan</t>
  </si>
  <si>
    <t>Migration Wave Plan and Schedule</t>
  </si>
  <si>
    <t>https://contoso.sharepoint.com/sites/AVSProgram/Shared%20Documents/Migration/Migration-Wave-Plan-and-Schedule.xlsx</t>
  </si>
  <si>
    <t>Master wave plan listing application groupings, target dates, owners and dependencies for all migration waves.</t>
  </si>
  <si>
    <t>wave plan, schedule, application, dependency, owner</t>
  </si>
  <si>
    <t>Azure Migrate Discovery Report</t>
  </si>
  <si>
    <t>https://contoso.sharepoint.com/sites/AVSProgram/Shared%20Documents/Migration/Azure-Migrate-Discovery-Report.xlsx</t>
  </si>
  <si>
    <t>Discovery and dependency mapping output from Azure Migrate for the in-scope on-premises estate.</t>
  </si>
  <si>
    <t>Azure Migrate, discovery, dependency mapping, inventory, assessment</t>
  </si>
  <si>
    <t>Application Cutover Runbook Template</t>
  </si>
  <si>
    <t>https://contoso.sharepoint.com/sites/AVSProgram/Shared%20Documents/Migration/Application-Cutover-Runbook-Template.docx</t>
  </si>
  <si>
    <t>Reusable cutover runbook template covering freeze, migrate, validate, smoke test and rollback steps.</t>
  </si>
  <si>
    <t>cutover, runbook, template, rollback, smoke test, freeze</t>
  </si>
  <si>
    <t>SOP</t>
  </si>
  <si>
    <t>Rollback Procedure for Failed Migrations</t>
  </si>
  <si>
    <t>https://contoso.sharepoint.com/sites/AVSProgram/Shared%20Documents/Migration/Rollback-Procedure-for-Failed-Migrations.docx</t>
  </si>
  <si>
    <t>Standard operating procedure for rolling a workload back to the source vSphere estate after a failed migration.</t>
  </si>
  <si>
    <t>rollback, failback, SOP, failed migration, recovery</t>
  </si>
  <si>
    <t>Cold Migration and OVF Import Guide</t>
  </si>
  <si>
    <t>https://contoso.sharepoint.com/sites/AVSProgram/Shared%20Documents/Migration/Cold-Migration-and-OVF-Import-Guide.docx</t>
  </si>
  <si>
    <t>Guide for migrating powered-off workloads and appliance imports using cold migration and OVF/OVA import.</t>
  </si>
  <si>
    <t>cold migration, OVF, OVA, appliance, import, powered off</t>
  </si>
  <si>
    <t>Migration Wave 3 Closure Report</t>
  </si>
  <si>
    <t>https://contoso.sharepoint.com/sites/AVSProgram/Shared%20Documents/Migration/Migration-Wave-3-Closure-Report.pdf</t>
  </si>
  <si>
    <t>Closure report for wave 3 including migrated workload counts, defects raised and lessons learned.</t>
  </si>
  <si>
    <t>closure, wave 3, lessons learned, defects, report</t>
  </si>
  <si>
    <t>FAQ</t>
  </si>
  <si>
    <t>Migration FAQ for Application Owners</t>
  </si>
  <si>
    <t>https://contoso.sharepoint.com/sites/AVSProgram/Shared%20Documents/Migration/Migration-FAQ-for-Application-Owners.docx</t>
  </si>
  <si>
    <t>Frequently asked questions aimed at application owners preparing their workloads for migration to AVS.</t>
  </si>
  <si>
    <t>FAQ, application owner, questions, preparation</t>
  </si>
  <si>
    <t>Physical to Virtual Server Conversion Guide</t>
  </si>
  <si>
    <t>https://contoso.sharepoint.com/sites/AVSProgram/Shared%20Documents/Migration/Physical-to-Virtual-Server-Conversion-Guide.docx</t>
  </si>
  <si>
    <t>Guide for converting remaining physical servers into virtual machines prior to migration into AVS.</t>
  </si>
  <si>
    <t>P2V, physical, conversion, virtualisation, legacy</t>
  </si>
  <si>
    <t>Post Migration Validation Checklist</t>
  </si>
  <si>
    <t>https://contoso.sharepoint.com/sites/AVSProgram/Shared%20Documents/Migration/Post-Migration-Validation-Checklist.xlsx</t>
  </si>
  <si>
    <t>Validation checklist executed after each workload lands in AVS covering tools, backup, monitoring and performance.</t>
  </si>
  <si>
    <t>validation, post migration, checklist, VMware tools, backup</t>
  </si>
  <si>
    <t>Network</t>
  </si>
  <si>
    <t>NSX-T Network Low Level Design</t>
  </si>
  <si>
    <t>https://contoso.sharepoint.com/sites/AVSProgram/Shared%20Documents/Network/NSX-T-Network-Low-Level-Design.docx</t>
  </si>
  <si>
    <t>Low level design for the NSX-T overlay including tier-0 and tier-1 gateway configuration, segments and routing policy.</t>
  </si>
  <si>
    <t>NSX-T, NSX, tier-0, tier-1, overlay, segment, routing, LLD</t>
  </si>
  <si>
    <t>NSX-T Segment Provisioning Guide</t>
  </si>
  <si>
    <t>https://contoso.sharepoint.com/sites/AVSProgram/Shared%20Documents/Network/NSX-T-Segment-Provisioning-Guide.docx</t>
  </si>
  <si>
    <t>How to request, provision and document a new NSX-T overlay segment in the AVS private cloud.</t>
  </si>
  <si>
    <t>NSX-T, segment, provisioning, overlay, VLAN, subnet</t>
  </si>
  <si>
    <t>ExpressRoute Global Reach Configuration Runbook</t>
  </si>
  <si>
    <t>https://contoso.sharepoint.com/sites/AVSProgram/Shared%20Documents/Network/ExpressRoute-Global-Reach-Configuration-Runbook.docx</t>
  </si>
  <si>
    <t>Runbook for establishing and validating ExpressRoute Global Reach peering between on-premises circuits and AVS.</t>
  </si>
  <si>
    <t>ExpressRoute, Global Reach, peering, circuit, authorisation key, runbook</t>
  </si>
  <si>
    <t>AVS Network Architecture and Traffic Flows</t>
  </si>
  <si>
    <t>https://contoso.sharepoint.com/sites/AVSProgram/Shared%20Documents/Network/AVS-Network-Architecture-and-Traffic-Flows.pdf</t>
  </si>
  <si>
    <t>Network architecture describing north-south and east-west traffic flows, inspection points and internet egress options.</t>
  </si>
  <si>
    <t>network architecture, traffic flow, north south, east west, egress, inspection</t>
  </si>
  <si>
    <t>Internet Egress Options for AVS</t>
  </si>
  <si>
    <t>https://contoso.sharepoint.com/sites/AVSProgram/Shared%20Documents/Network/Internet-Egress-Options-for-AVS.docx</t>
  </si>
  <si>
    <t>Comparison of managed SNAT, public IP down to NSX-T edge, and Azure Firewall egress designs with recommendations.</t>
  </si>
  <si>
    <t>egress, internet, SNAT, public IP, Azure Firewall, NAT</t>
  </si>
  <si>
    <t>NSX-T Distributed Firewall Rule Design</t>
  </si>
  <si>
    <t>https://contoso.sharepoint.com/sites/AVSProgram/Shared%20Documents/Network/NSX-T-Distributed-Firewall-Rule-Design.docx</t>
  </si>
  <si>
    <t>Design of the distributed firewall rule model, security groups, tagging strategy and default deny posture.</t>
  </si>
  <si>
    <t>NSX-T, DFW, distributed firewall, micro segmentation, tags, security group</t>
  </si>
  <si>
    <t>NSX-T Load Balancer Configuration Runbook</t>
  </si>
  <si>
    <t>https://contoso.sharepoint.com/sites/AVSProgram/Shared%20Documents/Network/NSX-T-Load-Balancer-Configuration-Runbook.docx</t>
  </si>
  <si>
    <t>Configuring NSX-T virtual servers, server pools, monitors and persistence profiles for application load balancing.</t>
  </si>
  <si>
    <t>NSX-T, load balancer, virtual server, pool, monitor, persistence</t>
  </si>
  <si>
    <t>DNS Forwarder Configuration Standard</t>
  </si>
  <si>
    <t>https://contoso.sharepoint.com/sites/AVSProgram/Shared%20Documents/Network/DNS-Forwarder-Configuration-Standard.docx</t>
  </si>
  <si>
    <t>Standard for configuring the NSX-T DNS forwarder and conditional forwarding to corporate DNS zones.</t>
  </si>
  <si>
    <t>DNS, forwarder, conditional forwarding, resolution, NSX-T</t>
  </si>
  <si>
    <t>AVS Connectivity Diagram Pack</t>
  </si>
  <si>
    <t>https://contoso.sharepoint.com/sites/AVSProgram/Shared%20Documents/Network/AVS-Connectivity-Diagram-Pack.vsdx</t>
  </si>
  <si>
    <t>Diagram pack covering physical circuits, logical routing and the full AVS connectivity topology.</t>
  </si>
  <si>
    <t>diagram, connectivity, topology, routing, circuits</t>
  </si>
  <si>
    <t>Route Advertisement and BGP Troubleshooting</t>
  </si>
  <si>
    <t>https://contoso.sharepoint.com/sites/AVSProgram/Shared%20Documents/Network/Route-Advertisement-and-BGP-Troubleshooting.docx</t>
  </si>
  <si>
    <t>Troubleshooting guide for BGP route advertisement issues between AVS, ExpressRoute and on-premises routers.</t>
  </si>
  <si>
    <t>BGP, route, advertisement, troubleshooting, ExpressRoute, prefix</t>
  </si>
  <si>
    <t>Policy</t>
  </si>
  <si>
    <t>IP Address Management Standard</t>
  </si>
  <si>
    <t>https://contoso.sharepoint.com/sites/AVSProgram/Shared%20Documents/Network/IP-Address-Management-Standard.docx</t>
  </si>
  <si>
    <t>IPAM standard defining CIDR allocation, reservation process and documentation requirements for AVS networks.</t>
  </si>
  <si>
    <t>IPAM, IP address, CIDR, allocation, subnet, standard</t>
  </si>
  <si>
    <t>Network Extension Cutover Runbook</t>
  </si>
  <si>
    <t>https://contoso.sharepoint.com/sites/AVSProgram/Shared%20Documents/Network/Network-Extension-Cutover-Runbook.docx</t>
  </si>
  <si>
    <t>Runbook for cutting over an HCX extended network to a native NSX-T segment after workload migration completes.</t>
  </si>
  <si>
    <t>network extension, cutover, HCX, NSX-T, segment, gateway</t>
  </si>
  <si>
    <t>Public IP and NAT Configuration Guide</t>
  </si>
  <si>
    <t>https://contoso.sharepoint.com/sites/AVSProgram/Shared%20Documents/Network/Public-IP-and-NAT-Configuration-Guide.docx</t>
  </si>
  <si>
    <t>Guide to requesting public IP addresses and configuring DNAT/SNAT rules on the NSX-T tier-1 gateway.</t>
  </si>
  <si>
    <t>public IP, NAT, DNAT, SNAT, tier-1, gateway</t>
  </si>
  <si>
    <t>Network Performance Baseline Report</t>
  </si>
  <si>
    <t>https://contoso.sharepoint.com/sites/AVSProgram/Shared%20Documents/Network/Network-Performance-Baseline-Report.pdf</t>
  </si>
  <si>
    <t>Baseline latency and throughput measurements between AVS, Azure native services and the on-premises estate.</t>
  </si>
  <si>
    <t>performance, baseline, latency, throughput, network, report</t>
  </si>
  <si>
    <t>Security</t>
  </si>
  <si>
    <t>AVS Security Architecture</t>
  </si>
  <si>
    <t>https://contoso.sharepoint.com/sites/AVSProgram/Shared%20Documents/Security/AVS-Security-Architecture.docx</t>
  </si>
  <si>
    <t>Security architecture for the AVS platform covering identity, network segmentation, encryption and logging.</t>
  </si>
  <si>
    <t>security architecture, segmentation, encryption, logging, defence in depth</t>
  </si>
  <si>
    <t>AVS Security Baseline Policy</t>
  </si>
  <si>
    <t>https://contoso.sharepoint.com/sites/AVSProgram/Shared%20Documents/Security/AVS-Security-Baseline-Policy.docx</t>
  </si>
  <si>
    <t>Mandatory security baseline for AVS private clouds, vCenter, NSX-T and workload virtual machines.</t>
  </si>
  <si>
    <t>baseline, policy, hardening, mandatory, compliance</t>
  </si>
  <si>
    <t>Micro Segmentation Implementation Guide</t>
  </si>
  <si>
    <t>https://contoso.sharepoint.com/sites/AVSProgram/Shared%20Documents/Security/Micro-Segmentation-Implementation-Guide.docx</t>
  </si>
  <si>
    <t>Implementation guide for micro segmentation using NSX-T distributed firewall and security tags.</t>
  </si>
  <si>
    <t>micro segmentation, NSX-T, DFW, tags, zero trust, east west</t>
  </si>
  <si>
    <t>vCenter Hardening Checklist</t>
  </si>
  <si>
    <t>https://contoso.sharepoint.com/sites/AVSProgram/Shared%20Documents/Security/vCenter-Hardening-Checklist.xlsx</t>
  </si>
  <si>
    <t>Hardening checklist for vCenter Server aligned to the VMware security configuration guide.</t>
  </si>
  <si>
    <t>vCenter, hardening, checklist, CIS, configuration guide</t>
  </si>
  <si>
    <t>Security Incident Response Procedure for AVS</t>
  </si>
  <si>
    <t>https://contoso.sharepoint.com/sites/AVSProgram/Shared%20Documents/Security/Security-Incident-Response-Procedure-for-AVS.docx</t>
  </si>
  <si>
    <t>Procedure for triaging, containing and reporting security incidents affecting the AVS estate.</t>
  </si>
  <si>
    <t>incident response, IR, containment, triage, SOC, escalation</t>
  </si>
  <si>
    <t>Customer Managed Keys and Encryption Guide</t>
  </si>
  <si>
    <t>https://contoso.sharepoint.com/sites/AVSProgram/Shared%20Documents/Security/Customer-Managed-Keys-and-Encryption-Guide.docx</t>
  </si>
  <si>
    <t>Guide to enabling customer managed keys with Azure Key Vault for vSAN datastore encryption.</t>
  </si>
  <si>
    <t>CMK, encryption, Key Vault, vSAN, key rotation, at rest</t>
  </si>
  <si>
    <t>AVS Penetration Test Summary</t>
  </si>
  <si>
    <t>https://contoso.sharepoint.com/sites/AVSProgram/Shared%20Documents/Security/AVS-Penetration-Test-Summary.pdf</t>
  </si>
  <si>
    <t>Executive summary and remediation tracker from the annual penetration test of the AVS platform.</t>
  </si>
  <si>
    <t>penetration test, pentest, remediation, findings, vulnerability</t>
  </si>
  <si>
    <t>Privileged Access Management Policy</t>
  </si>
  <si>
    <t>https://contoso.sharepoint.com/sites/AVSProgram/Shared%20Documents/Security/Privileged-Access-Management-Policy.docx</t>
  </si>
  <si>
    <t>Policy governing privileged access to vCenter, NSX-T and the AVS control plane including break glass accounts.</t>
  </si>
  <si>
    <t>PAM, privileged access, break glass, PIM, least privilege</t>
  </si>
  <si>
    <t>Log Forwarding to Microsoft Sentinel</t>
  </si>
  <si>
    <t>https://contoso.sharepoint.com/sites/AVSProgram/Shared%20Documents/Security/Log-Forwarding-to-Microsoft-Sentinel.docx</t>
  </si>
  <si>
    <t>Configuring diagnostic settings and syslog forwarding from AVS, vCenter and NSX-T into Microsoft Sentinel.</t>
  </si>
  <si>
    <t>Sentinel, SIEM, syslog, logging, diagnostic settings, forwarding</t>
  </si>
  <si>
    <t>Third Party Security Risk Assessment</t>
  </si>
  <si>
    <t>https://contoso.sharepoint.com/sites/AVSProgram/Shared%20Documents/Security/Third-Party-Security-Risk-Assessment.docx</t>
  </si>
  <si>
    <t>Risk assessment covering third party tooling deployed inside the AVS private clouds.</t>
  </si>
  <si>
    <t>risk, third party, assessment, supply chain, tooling</t>
  </si>
  <si>
    <t>Antivirus and EDR Deployment for AVS Workloads</t>
  </si>
  <si>
    <t>https://contoso.sharepoint.com/sites/AVSProgram/Shared%20Documents/Security/Antivirus-and-EDR-Deployment-for-AVS-Workloads.docx</t>
  </si>
  <si>
    <t>Deployment approach for endpoint detection and response agents on virtual machines hosted in AVS.</t>
  </si>
  <si>
    <t>EDR, antivirus, Defender, endpoint, agent, malware</t>
  </si>
  <si>
    <t>Operations</t>
  </si>
  <si>
    <t>AVS Daily Operations Runbook</t>
  </si>
  <si>
    <t>https://contoso.sharepoint.com/sites/AVSProgram/Shared%20Documents/Operations/AVS-Daily-Operations-Runbook.docx</t>
  </si>
  <si>
    <t>Daily operational checks for the AVS platform including health, capacity, alerts and backup status.</t>
  </si>
  <si>
    <t>daily checks, operations, runbook, health, alerts, BAU</t>
  </si>
  <si>
    <t>Host Replacement and Node Addition SOP</t>
  </si>
  <si>
    <t>https://contoso.sharepoint.com/sites/AVSProgram/Shared%20Documents/Operations/Host-Replacement-and-Node-Addition-SOP.docx</t>
  </si>
  <si>
    <t>Standard operating procedure for adding, replacing or removing an ESXi host node from an AVS cluster.</t>
  </si>
  <si>
    <t>host, node, scale out, replacement, remediation, ESXi</t>
  </si>
  <si>
    <t>AVS Private Cloud Upgrade and Maintenance Guide</t>
  </si>
  <si>
    <t>https://contoso.sharepoint.com/sites/AVSProgram/Shared%20Documents/Operations/AVS-Private-Cloud-Upgrade-and-Maintenance-Guide.docx</t>
  </si>
  <si>
    <t>How Microsoft managed platform upgrades work, maintenance windows, notification handling and customer responsibilities.</t>
  </si>
  <si>
    <t>upgrade, maintenance, patching, SDDC, notification, window</t>
  </si>
  <si>
    <t>Capacity Expansion Runbook</t>
  </si>
  <si>
    <t>https://contoso.sharepoint.com/sites/AVSProgram/Shared%20Documents/Operations/Capacity-Expansion-Runbook.docx</t>
  </si>
  <si>
    <t>Runbook for requesting quota, adding nodes and rebalancing workloads when a cluster approaches capacity thresholds.</t>
  </si>
  <si>
    <t>capacity, expansion, quota, scale, rebalance, slack</t>
  </si>
  <si>
    <t>Change Management Process for AVS</t>
  </si>
  <si>
    <t>https://contoso.sharepoint.com/sites/AVSProgram/Shared%20Documents/Operations/Change-Management-Process-for-AVS.docx</t>
  </si>
  <si>
    <t>Change management process, CAB requirements and change categories applicable to the AVS platform.</t>
  </si>
  <si>
    <t>change management, CAB, RFC, approval, process</t>
  </si>
  <si>
    <t>Monitoring and Alerting Design</t>
  </si>
  <si>
    <t>https://contoso.sharepoint.com/sites/AVSProgram/Shared%20Documents/Operations/Monitoring-and-Alerting-Design.docx</t>
  </si>
  <si>
    <t>Monitoring design covering Azure Monitor, vRealize Operations metrics, alert thresholds and routing to the service desk.</t>
  </si>
  <si>
    <t>monitoring, alerting, Azure Monitor, vROps, thresholds, service desk</t>
  </si>
  <si>
    <t>Support Request and Escalation Runbook</t>
  </si>
  <si>
    <t>https://contoso.sharepoint.com/sites/AVSProgram/Shared%20Documents/Operations/Support-Request-and-Escalation-Runbook.docx</t>
  </si>
  <si>
    <t>How to raise a Microsoft support request for AVS, severity definitions and the internal escalation path.</t>
  </si>
  <si>
    <t>support, escalation, severity, ticket, Microsoft, SLA</t>
  </si>
  <si>
    <t>Monthly Platform Health Checklist</t>
  </si>
  <si>
    <t>https://contoso.sharepoint.com/sites/AVSProgram/Shared%20Documents/Operations/Monthly-Platform-Health-Checklist.xlsx</t>
  </si>
  <si>
    <t>Monthly health review checklist covering capacity trend, patch level, backup success and open risks.</t>
  </si>
  <si>
    <t>health check, monthly, checklist, capacity, patch, risk</t>
  </si>
  <si>
    <t>AVS Monthly Service Report Template</t>
  </si>
  <si>
    <t>https://contoso.sharepoint.com/sites/AVSProgram/Shared%20Documents/Operations/AVS-Monthly-Service-Report-Template.pptx</t>
  </si>
  <si>
    <t>Template for the monthly service report issued to the business, including availability and incident summary.</t>
  </si>
  <si>
    <t>service report, monthly, availability, incidents, template</t>
  </si>
  <si>
    <t>Virtual Machine Provisioning Standard</t>
  </si>
  <si>
    <t>https://contoso.sharepoint.com/sites/AVSProgram/Shared%20Documents/Operations/Virtual-Machine-Provisioning-Standard.docx</t>
  </si>
  <si>
    <t>Standard for provisioning new virtual machines in AVS including naming, tagging, sizing and placement rules.</t>
  </si>
  <si>
    <t>provisioning, VM, naming, tagging, sizing, placement, standard</t>
  </si>
  <si>
    <t>vRealize Operations Dashboard Guide</t>
  </si>
  <si>
    <t>https://contoso.sharepoint.com/sites/AVSProgram/Shared%20Documents/Operations/vRealize-Operations-Dashboard-Guide.docx</t>
  </si>
  <si>
    <t>Guide to the custom vRealize Operations dashboards built for the AVS platform and how to interpret them.</t>
  </si>
  <si>
    <t>vROps, vRealize, dashboard, metrics, reporting</t>
  </si>
  <si>
    <t>Troubleshooting VM Performance Issues</t>
  </si>
  <si>
    <t>https://contoso.sharepoint.com/sites/AVSProgram/Shared%20Documents/Operations/Troubleshooting-VM-Performance-Issues.docx</t>
  </si>
  <si>
    <t>Troubleshooting flow for CPU ready, memory ballooning, storage latency and network drops affecting AVS workloads.</t>
  </si>
  <si>
    <t>troubleshooting, performance, CPU ready, ballooning, latency, contention</t>
  </si>
  <si>
    <t>Tagging and Naming Convention Policy</t>
  </si>
  <si>
    <t>https://contoso.sharepoint.com/sites/AVSProgram/Shared%20Documents/Operations/Tagging-and-Naming-Convention-Policy.docx</t>
  </si>
  <si>
    <t>Mandatory resource tagging and naming conventions applied to AVS resources and hosted workloads.</t>
  </si>
  <si>
    <t>tagging, naming, convention, policy, metadata</t>
  </si>
  <si>
    <t>Storage</t>
  </si>
  <si>
    <t>vSAN Storage Policy Low Level Design</t>
  </si>
  <si>
    <t>https://contoso.sharepoint.com/sites/AVSProgram/Shared%20Documents/Storage/vSAN-Storage-Policy-Low-Level-Design.docx</t>
  </si>
  <si>
    <t>Design of the vSAN storage policies including failures to tolerate, stripe width and the policy to workload mapping.</t>
  </si>
  <si>
    <t>vSAN, storage policy, FTT, RAID, stripe, SPBM, LLD</t>
  </si>
  <si>
    <t>Azure NetApp Files Datastore Guide</t>
  </si>
  <si>
    <t>https://contoso.sharepoint.com/sites/AVSProgram/Shared%20Documents/Storage/Azure-NetApp-Files-Datastore-Guide.docx</t>
  </si>
  <si>
    <t>Guide to attaching and operating Azure NetApp Files datastores with AVS to decouple storage from compute scaling.</t>
  </si>
  <si>
    <t>ANF, Azure NetApp Files, datastore, external storage, decouple</t>
  </si>
  <si>
    <t>Datastore Capacity Management Runbook</t>
  </si>
  <si>
    <t>https://contoso.sharepoint.com/sites/AVSProgram/Shared%20Documents/Storage/Datastore-Capacity-Management-Runbook.docx</t>
  </si>
  <si>
    <t>Runbook for monitoring datastore utilisation, managing slack space and responding to capacity alerts.</t>
  </si>
  <si>
    <t>datastore, capacity, slack space, utilisation, alerts</t>
  </si>
  <si>
    <t>Elastic SAN and Azure Files Integration</t>
  </si>
  <si>
    <t>https://contoso.sharepoint.com/sites/AVSProgram/Shared%20Documents/Storage/Elastic-SAN-and-Azure-Files-Integration.docx</t>
  </si>
  <si>
    <t>Options for presenting Azure Elastic SAN and Azure Files storage to workloads running in AVS.</t>
  </si>
  <si>
    <t>Elastic SAN, Azure Files, iSCSI, SMB, external storage</t>
  </si>
  <si>
    <t>Storage Policy Change Procedure</t>
  </si>
  <si>
    <t>https://contoso.sharepoint.com/sites/AVSProgram/Shared%20Documents/Storage/Storage-Policy-Change-Procedure.docx</t>
  </si>
  <si>
    <t>Procedure for changing a virtual machine storage policy including impact assessment and resync monitoring.</t>
  </si>
  <si>
    <t>storage policy, change, resync, SPBM, impact</t>
  </si>
  <si>
    <t>vSAN Utilisation and Growth Report</t>
  </si>
  <si>
    <t>https://contoso.sharepoint.com/sites/AVSProgram/Shared%20Documents/Storage/vSAN-Utilisation-and-Growth-Report.xlsx</t>
  </si>
  <si>
    <t>Monthly vSAN utilisation, deduplication ratio and projected growth across all clusters.</t>
  </si>
  <si>
    <t>vSAN, utilisation, deduplication, growth, report, forecast</t>
  </si>
  <si>
    <t>Backup &amp; DR</t>
  </si>
  <si>
    <t>Backup and Recovery High Level Design</t>
  </si>
  <si>
    <t>https://contoso.sharepoint.com/sites/AVSProgram/Shared%20Documents/BackupDR/Backup-and-Recovery-High-Level-Design.docx</t>
  </si>
  <si>
    <t>High level design for backing up AVS workloads, retention tiers and the placement of backup infrastructure.</t>
  </si>
  <si>
    <t>backup, recovery, retention, HLD, Veeam, repository</t>
  </si>
  <si>
    <t>Veeam Backup Restore Runbook</t>
  </si>
  <si>
    <t>https://contoso.sharepoint.com/sites/AVSProgram/Shared%20Documents/BackupDR/Veeam-Backup-Restore-Runbook.docx</t>
  </si>
  <si>
    <t>Runbook for performing file level, VM level and full application restores from Veeam backups.</t>
  </si>
  <si>
    <t>Veeam, restore, file level, VM restore, recovery, runbook</t>
  </si>
  <si>
    <t>Disaster Recovery Design for AVS</t>
  </si>
  <si>
    <t>https://contoso.sharepoint.com/sites/AVSProgram/Shared%20Documents/BackupDR/Disaster-Recovery-Design-for-AVS.docx</t>
  </si>
  <si>
    <t>DR design covering the protected estate, recovery site, RPO and RTO commitments and orchestration tooling.</t>
  </si>
  <si>
    <t>DR, disaster recovery, RPO, RTO, failover, orchestration</t>
  </si>
  <si>
    <t>DR Failover and Failback Runbook</t>
  </si>
  <si>
    <t>https://contoso.sharepoint.com/sites/AVSProgram/Shared%20Documents/BackupDR/DR-Failover-and-Failback-Runbook.docx</t>
  </si>
  <si>
    <t>Runbook for declaring a disaster, executing failover to the recovery region and subsequently failing back.</t>
  </si>
  <si>
    <t>failover, failback, DR, invocation, recovery region, runbook</t>
  </si>
  <si>
    <t>VMware Site Recovery Manager Configuration</t>
  </si>
  <si>
    <t>https://contoso.sharepoint.com/sites/AVSProgram/Shared%20Documents/BackupDR/VMware-Site-Recovery-Manager-Configuration.docx</t>
  </si>
  <si>
    <t>Configuration guide for SRM protection groups, recovery plans and replication settings used in the DR solution.</t>
  </si>
  <si>
    <t>SRM, Site Recovery Manager, protection group, recovery plan, replication</t>
  </si>
  <si>
    <t>Annual DR Test Report</t>
  </si>
  <si>
    <t>https://contoso.sharepoint.com/sites/AVSProgram/Shared%20Documents/BackupDR/Annual-DR-Test-Report.pdf</t>
  </si>
  <si>
    <t>Results of the annual disaster recovery test including achieved RTO, issues encountered and remediation actions.</t>
  </si>
  <si>
    <t>DR test, RTO, results, remediation, annual, exercise</t>
  </si>
  <si>
    <t>DR Invocation Checklist</t>
  </si>
  <si>
    <t>https://contoso.sharepoint.com/sites/AVSProgram/Shared%20Documents/BackupDR/DR-Invocation-Checklist.xlsx</t>
  </si>
  <si>
    <t>Checklist used by the incident commander when invoking disaster recovery for the AVS estate.</t>
  </si>
  <si>
    <t>DR, invocation, checklist, incident commander, declaration</t>
  </si>
  <si>
    <t>Backup Retention and Restore Testing Policy</t>
  </si>
  <si>
    <t>https://contoso.sharepoint.com/sites/AVSProgram/Shared%20Documents/BackupDR/Backup-Retention-and-Restore-Testing-Policy.docx</t>
  </si>
  <si>
    <t>Policy defining backup retention periods by data classification and the mandatory restore testing cadence.</t>
  </si>
  <si>
    <t>retention, policy, restore testing, classification, cadence</t>
  </si>
  <si>
    <t>Azure Site Recovery for AVS Workloads</t>
  </si>
  <si>
    <t>https://contoso.sharepoint.com/sites/AVSProgram/Shared%20Documents/BackupDR/Azure-Site-Recovery-for-AVS-Workloads.docx</t>
  </si>
  <si>
    <t>Using Azure Site Recovery to protect AVS hosted workloads into an Azure native recovery target.</t>
  </si>
  <si>
    <t>ASR, Azure Site Recovery, replication, protection, recovery</t>
  </si>
  <si>
    <t>Identity</t>
  </si>
  <si>
    <t>vCenter Identity Source Configuration</t>
  </si>
  <si>
    <t>https://contoso.sharepoint.com/sites/AVSProgram/Shared%20Documents/Identity/vCenter-Identity-Source-Configuration.docx</t>
  </si>
  <si>
    <t>Configuring external identity sources for vCenter single sign on, including LDAPS to corporate directories.</t>
  </si>
  <si>
    <t>vCenter, identity source, SSO, LDAPS, directory, authentication</t>
  </si>
  <si>
    <t>Entra ID Integration Architecture</t>
  </si>
  <si>
    <t>https://contoso.sharepoint.com/sites/AVSProgram/Shared%20Documents/Identity/Entra-ID-Integration-Architecture.docx</t>
  </si>
  <si>
    <t>How Microsoft Entra ID, Entra Domain Services and vCenter SSO integrate to provide identity for the AVS estate.</t>
  </si>
  <si>
    <t>Entra ID, Azure AD, SSO, domain services, identity, federation</t>
  </si>
  <si>
    <t>Role Based Access Control Model</t>
  </si>
  <si>
    <t>https://contoso.sharepoint.com/sites/AVSProgram/Shared%20Documents/Identity/Role-Based-Access-Control-Model.docx</t>
  </si>
  <si>
    <t>RBAC model defining roles, permissions and separation of duties across vCenter, NSX-T and the Azure control plane.</t>
  </si>
  <si>
    <t>RBAC, roles, permissions, separation of duties, access</t>
  </si>
  <si>
    <t>CloudAdmin Account Management Procedure</t>
  </si>
  <si>
    <t>https://contoso.sharepoint.com/sites/AVSProgram/Shared%20Documents/Identity/CloudAdmin-Account-Management-Procedure.docx</t>
  </si>
  <si>
    <t>Procedure for managing the built-in cloudadmin account, rotating credentials and delegating permissions.</t>
  </si>
  <si>
    <t>cloudadmin, credentials, rotation, delegation, privileged</t>
  </si>
  <si>
    <t>Multi Factor Authentication Rollout Guide</t>
  </si>
  <si>
    <t>https://contoso.sharepoint.com/sites/AVSProgram/Shared%20Documents/Identity/Multi-Factor-Authentication-Rollout-Guide.docx</t>
  </si>
  <si>
    <t>Rollout guide for enforcing MFA on all administrative access paths into the AVS platform.</t>
  </si>
  <si>
    <t>MFA, multi factor, conditional access, authentication, rollout</t>
  </si>
  <si>
    <t>Joiner Mover Leaver Checklist for Platform Access</t>
  </si>
  <si>
    <t>https://contoso.sharepoint.com/sites/AVSProgram/Shared%20Documents/Identity/Joiner-Mover-Leaver-Checklist-for-Platform-Access.xlsx</t>
  </si>
  <si>
    <t>Access provisioning and revocation checklist for staff joining, moving within or leaving the platform team.</t>
  </si>
  <si>
    <t>JML, joiner, mover, leaver, access, revocation, offboarding</t>
  </si>
  <si>
    <t>Governance</t>
  </si>
  <si>
    <t>AVS Governance Framework</t>
  </si>
  <si>
    <t>https://contoso.sharepoint.com/sites/AVSProgram/Shared%20Documents/Governance/AVS-Governance-Framework.docx</t>
  </si>
  <si>
    <t>Governance framework describing the operating model, decision forums, RACI and policy hierarchy for AVS.</t>
  </si>
  <si>
    <t>governance, framework, RACI, operating model, forums</t>
  </si>
  <si>
    <t>Azure Policy and Compliance Guardrails</t>
  </si>
  <si>
    <t>https://contoso.sharepoint.com/sites/AVSProgram/Shared%20Documents/Governance/Azure-Policy-and-Compliance-Guardrails.docx</t>
  </si>
  <si>
    <t>Guardrails applied through Azure Policy to the subscriptions hosting AVS and how exemptions are approved.</t>
  </si>
  <si>
    <t>Azure Policy, guardrails, compliance, exemption, initiative</t>
  </si>
  <si>
    <t>Quarterly Compliance Attestation Report</t>
  </si>
  <si>
    <t>https://contoso.sharepoint.com/sites/AVSProgram/Shared%20Documents/Governance/Quarterly-Compliance-Attestation-Report.pdf</t>
  </si>
  <si>
    <t>Quarterly attestation evidencing control effectiveness for the AVS platform against the internal control set.</t>
  </si>
  <si>
    <t>compliance, attestation, controls, quarterly, evidence, audit</t>
  </si>
  <si>
    <t>Data Residency and Sovereignty Standard</t>
  </si>
  <si>
    <t>https://contoso.sharepoint.com/sites/AVSProgram/Shared%20Documents/Governance/Data-Residency-and-Sovereignty-Standard.docx</t>
  </si>
  <si>
    <t>Standard defining permitted regions for AVS workloads based on data classification and residency requirements.</t>
  </si>
  <si>
    <t>data residency, sovereignty, region, classification, standard</t>
  </si>
  <si>
    <t>Risk and Issue Register Template</t>
  </si>
  <si>
    <t>https://contoso.sharepoint.com/sites/AVSProgram/Shared%20Documents/Governance/Risk-and-Issue-Register-Template.xlsx</t>
  </si>
  <si>
    <t>Template for the programme risk and issue register including scoring matrix and escalation thresholds.</t>
  </si>
  <si>
    <t>risk, issue, register, template, RAID, scoring</t>
  </si>
  <si>
    <t>Regulatory Impact Assessment for AVS</t>
  </si>
  <si>
    <t>https://contoso.sharepoint.com/sites/AVSProgram/Shared%20Documents/Governance/Regulatory-Impact-Assessment-for-AVS.docx</t>
  </si>
  <si>
    <t>Assessment of regulatory obligations applicable to workloads being moved into Azure VMware Solution.</t>
  </si>
  <si>
    <t>regulatory, impact assessment, obligations, DORA, compliance</t>
  </si>
  <si>
    <t>Design Authority Submission Procedure</t>
  </si>
  <si>
    <t>https://contoso.sharepoint.com/sites/AVSProgram/Shared%20Documents/Governance/Design-Authority-Submission-Procedure.docx</t>
  </si>
  <si>
    <t>How to prepare and submit a design for review at the AVS design authority, including required artefacts.</t>
  </si>
  <si>
    <t>design authority, submission, review, governance, artefacts</t>
  </si>
  <si>
    <t>Cost</t>
  </si>
  <si>
    <t>AVS Cost Model and Forecast</t>
  </si>
  <si>
    <t>https://contoso.sharepoint.com/sites/AVSProgram/Shared%20Documents/Cost/AVS-Cost-Model-and-Forecast.xlsx</t>
  </si>
  <si>
    <t>Cost model covering reserved instance coverage, node run rate and a three year forecast for the AVS estate.</t>
  </si>
  <si>
    <t>cost, forecast, reserved instance, RI, run rate, model</t>
  </si>
  <si>
    <t>Reserved Instance Purchasing Guide</t>
  </si>
  <si>
    <t>https://contoso.sharepoint.com/sites/AVSProgram/Shared%20Documents/Cost/Reserved-Instance-Purchasing-Guide.docx</t>
  </si>
  <si>
    <t>Guide to purchasing, allocating and tracking reserved instances for AVS nodes to reduce run cost.</t>
  </si>
  <si>
    <t>reserved instance, RI, purchase, discount, commitment, savings</t>
  </si>
  <si>
    <t>Cost Allocation and Showback Guide</t>
  </si>
  <si>
    <t>https://contoso.sharepoint.com/sites/AVSProgram/Shared%20Documents/Cost/Cost-Allocation-and-Showback-Guide.docx</t>
  </si>
  <si>
    <t>How AVS platform cost is allocated to consuming business units and presented through showback reporting.</t>
  </si>
  <si>
    <t>cost allocation, showback, chargeback, business unit, tagging</t>
  </si>
  <si>
    <t>Monthly Cost Variance Report</t>
  </si>
  <si>
    <t>https://contoso.sharepoint.com/sites/AVSProgram/Shared%20Documents/Cost/Monthly-Cost-Variance-Report.xlsx</t>
  </si>
  <si>
    <t>Monthly analysis of actual versus forecast AVS spend with commentary on material variances.</t>
  </si>
  <si>
    <t>cost, variance, monthly, spend, forecast, analysis</t>
  </si>
  <si>
    <t>Right Sizing and Optimisation Playbook</t>
  </si>
  <si>
    <t>https://contoso.sharepoint.com/sites/AVSProgram/Shared%20Documents/Cost/Right-Sizing-and-Optimisation-Playbook.docx</t>
  </si>
  <si>
    <t>Playbook of optimisation levers for the AVS estate including right sizing, power management and storage tiering.</t>
  </si>
  <si>
    <t>optimisation, right sizing, savings, efficiency, playbook</t>
  </si>
  <si>
    <t>Training</t>
  </si>
  <si>
    <t>AVS Platform Onboarding Guide for New Engineers</t>
  </si>
  <si>
    <t>https://contoso.sharepoint.com/sites/AVSProgram/Shared%20Documents/Training/AVS-Platform-Onboarding-Guide-for-New-Engineers.docx</t>
  </si>
  <si>
    <t>Onboarding guide for engineers joining the platform team, covering access, tooling and the first 30 days.</t>
  </si>
  <si>
    <t>onboarding, training, new starter, access, tooling</t>
  </si>
  <si>
    <t>vSphere Fundamentals Training Deck</t>
  </si>
  <si>
    <t>https://contoso.sharepoint.com/sites/AVSProgram/Shared%20Documents/Training/vSphere-Fundamentals-Training-Deck.pptx</t>
  </si>
  <si>
    <t>Internal training deck covering vSphere fundamentals for engineers new to VMware technologies.</t>
  </si>
  <si>
    <t>training, vSphere, fundamentals, deck, VMware, basics</t>
  </si>
  <si>
    <t>NSX-T Operations Training Deck</t>
  </si>
  <si>
    <t>https://contoso.sharepoint.com/sites/AVSProgram/Shared%20Documents/Training/NSX-T-Operations-Training-Deck.pptx</t>
  </si>
  <si>
    <t>Training deck covering day two NSX-T operations, common tasks and troubleshooting techniques.</t>
  </si>
  <si>
    <t>training, NSX-T, operations, day two, troubleshooting</t>
  </si>
  <si>
    <t>AVS Frequently Asked Questions</t>
  </si>
  <si>
    <t>https://contoso.sharepoint.com/sites/AVSProgram/Shared%20Documents/Training/AVS-Frequently-Asked-Questions.docx</t>
  </si>
  <si>
    <t>General FAQ about Azure VMware Solution aimed at internal stakeholders and application teams.</t>
  </si>
  <si>
    <t>FAQ, questions, stakeholders, overview, general</t>
  </si>
  <si>
    <t>Glossary of AVS and VMware Terminology</t>
  </si>
  <si>
    <t>https://contoso.sharepoint.com/sites/AVSProgram/Shared%20Documents/Training/Glossary-of-AVS-and-VMware-Terminology.docx</t>
  </si>
  <si>
    <t>Glossary of acronyms and terminology used across the AVS programme documentation set.</t>
  </si>
  <si>
    <t>glossary, terminology, acronyms, definitions, reference</t>
  </si>
  <si>
    <t/>
  </si>
  <si>
    <t>Unfiled Legacy Platform Notes</t>
  </si>
  <si>
    <t>https://contoso.sharepoint.com/sites/AVSProgram/Shared%20Documents/Unfiled/Unfiled-Legacy-Platform-Notes.docx</t>
  </si>
  <si>
    <t>Historic notes inherited from the legacy platform team that have not yet been assigned to a scope.</t>
  </si>
  <si>
    <t>legacy, unfiled, notes, historic</t>
  </si>
  <si>
    <t>VLAN to Overlay Migration Notes</t>
  </si>
  <si>
    <t>https://contoso.sharepoint.com/sites/AVSProgram/Shared%20Documents/Network/VLAN-to-Overlay-Migration-Notes.docx</t>
  </si>
  <si>
    <t>Working notes on moving remaining VLAN backed port groups onto NSX-T overlay segments.</t>
  </si>
  <si>
    <t>Out of Hours Standby Rota Runbook</t>
  </si>
  <si>
    <t>https://contoso.sharepoint.com/sites/AVSProgram/Shared%20Documents/Operations/Out-of-Hours-Standby-Rota-Runbook.docx</t>
  </si>
  <si>
    <t>standby, rota, out of hours, on call, escalation</t>
  </si>
  <si>
    <t>Key Rotation Schedule</t>
  </si>
  <si>
    <t>https://contoso.sharepoint.com/sites/AVSProgram/Shared%20Documents/Security/Key-Rotation-Schedule.xlsx</t>
  </si>
  <si>
    <t>Schedule of encryption key rotation dates and owners for the AVS platform.</t>
  </si>
  <si>
    <t>key rotation, schedule, encryption, owners</t>
  </si>
  <si>
    <t>Wave 9 Draft Plan (Pending Upload)</t>
  </si>
  <si>
    <t>Draft wave 9 plan still under review; the final version has not yet been published to SharePoint.</t>
  </si>
  <si>
    <t>wave 9, draft, pending, plan</t>
  </si>
  <si>
    <t xml:space="preserve">  Network  </t>
  </si>
  <si>
    <t xml:space="preserve">Guide </t>
  </si>
  <si>
    <t xml:space="preserve">  Jumbo Frames and MTU Configuration  </t>
  </si>
  <si>
    <t>https://contoso.sharepoint.com/sites/AVSProgram/Shared%20Documents/Network/Jumbo-Frames-and-MTU-Configuration.docx</t>
  </si>
  <si>
    <t xml:space="preserve">  Guidance on MTU sizing across ExpressRoute, HCX network extension and NSX-T overlay segments.  </t>
  </si>
  <si>
    <t>MTU, Jumbo Frames, mtu 9000, JUMBO, hcx, expressroute</t>
  </si>
  <si>
    <t>https://contoso.sharepoint.com/sites/AVSProgram/Shared%20Documents/Design/AVS-Platform-High-Level-Design.pdf</t>
  </si>
  <si>
    <t>Superseded v1.0 of the platform high level design, retained for audit purposes only.</t>
  </si>
  <si>
    <t>AVS, HLD, superseded, v1.0, audit, archive</t>
  </si>
  <si>
    <t>network</t>
  </si>
  <si>
    <t>Wireless Site Survey (Legacy DC)</t>
  </si>
  <si>
    <t>https://contoso.sharepoint.com/sites/AVSProgram/Shared%20Documents/network/Wireless-Site-Survey-Legacy-DC.pdf</t>
  </si>
  <si>
    <t>Legacy datacentre wireless survey retained for reference during the decommission programme.</t>
  </si>
  <si>
    <t>wireless, survey, legacy, decommission</t>
  </si>
  <si>
    <t>Scope</t>
  </si>
  <si>
    <t>Document Type</t>
  </si>
  <si>
    <t>Document Name</t>
  </si>
  <si>
    <t>Document Link</t>
  </si>
  <si>
    <t>Description</t>
  </si>
  <si>
    <t>Keywords</t>
  </si>
  <si>
    <t>Scope Group</t>
  </si>
  <si>
    <t>Visible</t>
  </si>
  <si>
    <t>Search Key</t>
  </si>
  <si>
    <t>Boost Key</t>
  </si>
  <si>
    <t>Hits</t>
  </si>
  <si>
    <t>Score</t>
  </si>
  <si>
    <t>In Scope</t>
  </si>
  <si>
    <t>Sort Key</t>
  </si>
  <si>
    <t>Display Name</t>
  </si>
  <si>
    <t>Link Out</t>
  </si>
  <si>
    <t>AVS Document Repository — Read Me</t>
  </si>
  <si>
    <t>What this is</t>
  </si>
  <si>
    <t>A lightweight document-search application built entirely from native Excel formulas and features. It works the same in Excel 365 for Windows/Mac and in Excel for the Web.</t>
  </si>
  <si>
    <t>Sheets</t>
  </si>
  <si>
    <t>Index</t>
  </si>
  <si>
    <t>The application. Choose a Scope, type a search, click a document name to open it.</t>
  </si>
  <si>
    <t>Repository</t>
  </si>
  <si>
    <t>The source of truth: the tblDocuments Excel Table. Add, edit and delete documents here.</t>
  </si>
  <si>
    <t>Read Me</t>
  </si>
  <si>
    <t>This sheet.</t>
  </si>
  <si>
    <t>Calc</t>
  </si>
  <si>
    <t>Hidden calculation engine. Right-click any tab → Unhide to inspect it. Nothing needs editing there.</t>
  </si>
  <si>
    <t>How to use the Index</t>
  </si>
  <si>
    <t>Browse</t>
  </si>
  <si>
    <t>Pick a Scope from the dropdown in cell B6. The list on the left is a live summary — every scope, and how many of its documents a filter currently leaves showing, with the chosen one marked. It is a readout, not a set of buttons; a cell cannot run anything when you click it unless the workbook contains code, which this one does not.</t>
  </si>
  <si>
    <t>Slicer names in formulas</t>
  </si>
  <si>
    <t>Slicer Settings shows a 'Name to use in formulas' such as Slicer_Scope_Group. That name is for VBA and Office Scripts, and for CUBE functions against a Data Model — not for worksheet formulas over an ordinary table. Typing =Slicer_Scope_Group in a cell gives you nothing. And no formula can clear a slicer in any case: a formula only produces a value for its own cell, it never changes anything elsewhere. Reading a slicer's effect is possible, and this workbook does exactly that — see the Visible column.</t>
  </si>
  <si>
    <t>Clickable scope buttons</t>
  </si>
  <si>
    <t>The slicer must be inserted through Excel's own menu — one written into the file by a generator is silently ignored. Open Repository, click cell A5 (the Table Design tab must appear — that is how you know the cursor is inside the table), then Table Design ▸ Insert Slicer ▸ tick Scope Group ▸ OK. Cut and paste it onto the Index if you want it there; it filters from either sheet. If you get an Existing Connections dialog instead, the cursor was outside the table. Choose Scope Group rather than Scope: it is trimmed and shows blanks as (Unspecified). The Index already reacts — the hidden Visible column reports which rows a filter leaves showing.</t>
  </si>
  <si>
    <t>Search</t>
  </si>
  <si>
    <t>Type into cell E6. Results update as soon as you leave the cell. Search covers document name, type, scope, keywords and description.</t>
  </si>
  <si>
    <t>Combine</t>
  </si>
  <si>
    <t>Scope and search apply together. Scope = All searches everything.</t>
  </si>
  <si>
    <t>When searching (cell B8)</t>
  </si>
  <si>
    <t>'Stay in the chosen scope' is the default: a search is narrowed by the Scope box and by any slicer. Switch to 'Search all scopes' and an active search ignores both, so you are never trapped by a filter you forgot about. The filter is not cleared — it simply stops applying while you are searching, and comes back when the search box is empty.</t>
  </si>
  <si>
    <t>Table filters count too</t>
  </si>
  <si>
    <t>Any filter on the Repository table — a slicer, or the header AutoFilter arrows — also narrows the Index. Handy, but if the Index looks short for no reason, check whether a filter is still on.</t>
  </si>
  <si>
    <t>Clear</t>
  </si>
  <si>
    <t>The blue bar beside the search box selects the box for you; press Delete to empty it. It cannot do the emptying itself — a hyperlink moves the cursor, and no formula can write to another cell. For a genuine one-click clear, add the Office Script described below. A slicer, by contrast, does clear itself in one click: the funnel-with-a-cross icon in its top-right corner.</t>
  </si>
  <si>
    <t>One-click reset (optional)</t>
  </si>
  <si>
    <t>For a single button that empties the search box, sets Scope back to All and releases every slicer, see docs/ResetFilters.ts in the repository — a short Office Script you paste in via the Automate tab. It is the one thing formulas cannot do. Entirely optional; the workbook itself stays code-free.</t>
  </si>
  <si>
    <t>Open a document</t>
  </si>
  <si>
    <t>Click the blue document name. It opens the SharePoint link held in the Repository.</t>
  </si>
  <si>
    <t>Search behaviour</t>
  </si>
  <si>
    <t>Normalisation</t>
  </si>
  <si>
    <t>Both your query and the document text are lower-cased and have punctuation replaced by spaces, so case, extra spaces, commas, hyphens and slashes do not matter.</t>
  </si>
  <si>
    <t>Multiple words</t>
  </si>
  <si>
    <t>Best-match. The workbook finds the highest number of your words that any single document matches, then shows every document matching that many. Type three words and you get the documents matching all three; if none does, you get the ones matching two rather than nothing.</t>
  </si>
  <si>
    <t>Ranking</t>
  </si>
  <si>
    <t>An exact phrase match ranks highest, then whole-word matches in the document name or keywords, then any match in those fields, then matches found only in the description. This is what keeps 'DR' from being buried under 'ADR' and 'EDR'. Equal scores sort alphabetically.</t>
  </si>
  <si>
    <t>Partial words</t>
  </si>
  <si>
    <t>Substring matching, so 'migrat' finds 'migration' and 'migrated'.</t>
  </si>
  <si>
    <t>Repository health</t>
  </si>
  <si>
    <t>Documents in repository</t>
  </si>
  <si>
    <t>Scopes in use</t>
  </si>
  <si>
    <t>Search index built for (should equal the count above)</t>
  </si>
  <si>
    <t>Rows with a blank Scope</t>
  </si>
  <si>
    <t>Rows with a blank Document Type</t>
  </si>
  <si>
    <t>Rows with a blank Description</t>
  </si>
  <si>
    <t>Rows with no Keywords</t>
  </si>
  <si>
    <t>Rows with a missing or non-URL link</t>
  </si>
  <si>
    <t>Rows with untrimmed whitespace</t>
  </si>
  <si>
    <t>Duplicated document names</t>
  </si>
  <si>
    <t>These are advisory counts, not errors. The Index copes with all of them: blank scopes group under '(Unspecified)', blank type and description show as an em dash, and a document with no usable link is listed as plain text marked '(no link)' rather than a broken hyperlink.</t>
  </si>
  <si>
    <t>Adding content</t>
  </si>
  <si>
    <t>A new document</t>
  </si>
  <si>
    <t>Type into the row directly under the last row of tblDocuments, or paste a block of rows. The table grows, the helper columns fill themselves in, and the document is searchable immediately.</t>
  </si>
  <si>
    <t>A new scope</t>
  </si>
  <si>
    <t>Just use it in the Scope column. It appears in the dropdown, the sidebar and the counts with no further action.</t>
  </si>
  <si>
    <t>Replacing the seed data</t>
  </si>
  <si>
    <t>The shipped rows are placeholders pointing at contoso.sharepoint.com. Select the table's data rows, delete them, then paste your own export under the header. Keep the first six column headings unchanged.</t>
  </si>
  <si>
    <t>Document Link format</t>
  </si>
  <si>
    <t>The Document Link cell must contain the URL as text (starting http). A cell whose displayed text is a friendly caption rather than the URL will show as '(no link)' on the Index.</t>
  </si>
  <si>
    <t>What this workbook deliberately does not do</t>
  </si>
  <si>
    <t>No macros</t>
  </si>
  <si>
    <t>No VBA, no .xlsm, no ActiveX, no form controls.</t>
  </si>
  <si>
    <t>No outbound calls</t>
  </si>
  <si>
    <t>No web-request or XML-fetch formulas, no Power Query, no data connections, no external workbook links and no embedded media. Nothing contacts the network unless you click a document link.</t>
  </si>
  <si>
    <t>No manual filtering</t>
  </si>
  <si>
    <t>You never need to touch AutoFilter on the Repository sheet.</t>
  </si>
  <si>
    <t>Limitations</t>
  </si>
  <si>
    <t>Results window</t>
  </si>
  <si>
    <t>The Index shows the first 200 matches. The status line tells you when there are more; narrowing the search or picking a scope reveals the rest.</t>
  </si>
  <si>
    <t>Scope sidebar</t>
  </si>
  <si>
    <t>The sidebar lists the first 24 scopes. The dropdown always contains every scope.</t>
  </si>
  <si>
    <t>Clear button</t>
  </si>
  <si>
    <t>Excel for the Web cannot run code, so a single-click 'clear' is impossible without VBA. The Clear link jumps to the search box so Delete is one keystroke away.</t>
  </si>
  <si>
    <t>Excel version</t>
  </si>
  <si>
    <t>Built for Excel 2021, Microsoft 365 and Excel for the Web. Only the Scope list needs a modern function; everything else predates Excel 2007.</t>
  </si>
  <si>
    <t>Result order</t>
  </si>
  <si>
    <t>Equally relevant documents appear in the order they sit in the Repository sheet. With an empty search that is simply repository order — sort the Repository table to change how browsing reads.</t>
  </si>
  <si>
    <t>Search words</t>
  </si>
  <si>
    <t>Up to eight words per search; a ninth is ignored.</t>
  </si>
  <si>
    <t>Calculation engine. Everything here is derived from tblDocuments and the two Index input cells — nothing needs to be maintained by hand.</t>
  </si>
  <si>
    <t>Normalised query</t>
  </si>
  <si>
    <t>Matching documents</t>
  </si>
  <si>
    <t>Rows shown on Index</t>
  </si>
  <si>
    <t>Index results window</t>
  </si>
  <si>
    <t>Index status line</t>
  </si>
  <si>
    <t>Index footer line</t>
  </si>
  <si>
    <t>Index subtitle</t>
  </si>
  <si>
    <t>Search words entered</t>
  </si>
  <si>
    <t>Best word-match count</t>
  </si>
  <si>
    <t>Rows left showing by filters</t>
  </si>
  <si>
    <t>Search is ignoring the scope</t>
  </si>
  <si>
    <t>Search all scopes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</si>
</sst>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0"/>
      <color rgb="FF1B2A38"/>
      <name val="Segoe UI"/>
      <family val="2"/>
    </font>
    <font>
      <b/>
      <sz val="20"/>
      <color rgb="FFFFFFFF"/>
      <name val="Segoe UI"/>
      <family val="2"/>
    </font>
    <font>
      <sz val="10"/>
      <color rgb="FF5C7284"/>
      <name val="Segoe UI"/>
      <family val="2"/>
    </font>
    <font>
      <b/>
      <sz val="8"/>
      <color rgb="FF6B7B8C"/>
      <name val="Segoe UI"/>
      <family val="2"/>
    </font>
    <font>
      <b/>
      <sz val="12"/>
      <color rgb="FF0F6CBD"/>
      <name val="Segoe UI"/>
      <family val="2"/>
    </font>
    <font>
      <sz val="13"/>
      <color rgb="FF1B2A38"/>
      <name val="Segoe UI"/>
      <family val="2"/>
    </font>
    <font>
      <i/>
      <sz val="8"/>
      <color rgb="FF6B7B8C"/>
      <name val="Segoe UI"/>
      <family val="2"/>
    </font>
    <font>
      <b/>
      <sz val="9"/>
      <color rgb="FFFFFFFF"/>
      <name val="Segoe UI"/>
      <family val="2"/>
    </font>
    <font>
      <sz val="9"/>
      <color rgb="FF1B2A38"/>
      <name val="Segoe UI"/>
      <family val="2"/>
    </font>
    <font>
      <b/>
      <sz val="11"/>
      <color rgb="FF1B2A38"/>
      <name val="Segoe UI"/>
      <family val="2"/>
    </font>
    <font>
      <b/>
      <sz val="8"/>
      <color rgb="FFFFFFFF"/>
      <name val="Segoe UI"/>
      <family val="2"/>
    </font>
    <font>
      <sz val="9"/>
      <color rgb="FF6B7B8C"/>
      <name val="Segoe UI"/>
      <family val="2"/>
    </font>
    <font>
      <u/>
      <sz val="10"/>
      <color rgb="FF0F6CBD"/>
      <name val="Segoe UI"/>
      <family val="2"/>
    </font>
    <font>
      <i/>
      <sz val="9"/>
      <color rgb="FF6B7B8C"/>
      <name val="Segoe UI"/>
      <family val="2"/>
    </font>
    <font>
      <sz val="9"/>
      <color rgb="FF0F6CBD"/>
      <name val="Segoe UI"/>
      <family val="2"/>
    </font>
    <font>
      <sz val="8"/>
      <color rgb="FF93A2B1"/>
      <name val="Segoe UI"/>
      <family val="2"/>
    </font>
    <font>
      <b/>
      <sz val="14"/>
      <color rgb="FF12324F"/>
      <name val="Segoe UI"/>
      <family val="2"/>
    </font>
    <font>
      <b/>
      <sz val="16"/>
      <color rgb="FF12324F"/>
      <name val="Segoe UI"/>
      <family val="2"/>
    </font>
    <font>
      <b/>
      <sz val="9"/>
      <color rgb="FF1B2A38"/>
      <name val="Segoe UI"/>
      <family val="2"/>
    </font>
    <font>
      <b/>
      <sz val="11"/>
      <color rgb="FF0F6CBD"/>
      <name val="Segoe UI"/>
      <family val="2"/>
    </font>
    <font>
      <b/>
      <sz val="10"/>
      <color rgb="FF12324F"/>
      <name val="Segoe UI"/>
      <family val="2"/>
    </font>
  </fonts>
  <fills count="7">
    <fill>
      <patternFill patternType="none"/>
    </fill>
    <fill>
      <patternFill patternType="gray125"/>
    </fill>
    <fill>
      <patternFill patternType="solid">
        <fgColor rgb="FFF2F5F8"/>
        <bgColor indexed="64"/>
      </patternFill>
    </fill>
    <fill>
      <patternFill patternType="solid">
        <fgColor rgb="FF12324F"/>
        <bgColor indexed="64"/>
      </patternFill>
    </fill>
    <fill>
      <patternFill patternType="solid">
        <fgColor rgb="FFE5ECF2"/>
        <bgColor indexed="64"/>
      </patternFill>
    </fill>
    <fill>
      <patternFill patternType="solid">
        <fgColor rgb="FFFFFFFF"/>
        <bgColor indexed="64"/>
      </patternFill>
    </fill>
    <fill>
      <patternFill patternType="solid">
        <fgColor rgb="FF0F6CBD"/>
        <bgColor indexed="64"/>
      </patternFill>
    </fill>
  </fills>
  <borders count="3">
    <border>
      <left/>
      <right/>
      <top/>
      <bottom/>
      <diagonal/>
    </border>
    <border>
      <left style="thin">
        <color rgb="FFD6DEE7"/>
      </left>
      <right style="thin">
        <color rgb="FFD6DEE7"/>
      </right>
      <top style="thin">
        <color rgb="FFD6DEE7"/>
      </top>
      <bottom style="thin">
        <color rgb="FFD6DEE7"/>
      </bottom>
      <diagonal/>
    </border>
    <border>
      <left style="thin">
        <color rgb="FF0F6CBD"/>
      </left>
      <right style="thin">
        <color rgb="FF0F6CBD"/>
      </right>
      <top style="thin">
        <color rgb="FF0F6CBD"/>
      </top>
      <bottom style="thin">
        <color rgb="FF0F6CBD"/>
      </bottom>
      <diagonal/>
    </border>
  </borders>
  <cellStyleXfs count="1">
    <xf numFmtId="0" fontId="0" fillId="0" borderId="0"/>
  </cellStyleXfs>
  <cellXfs count="35">
    <xf numFmtId="0" fontId="0" fillId="0" borderId="0" xfId="0"/>
    <xf numFmtId="0" fontId="1" fillId="2" borderId="0" xfId="0" applyFont="1" applyFill="1"/>
    <xf numFmtId="0" fontId="4" fillId="2" borderId="0" xfId="0" applyFont="1" applyFill="1" applyAlignment="1">
      <alignment horizontal="left"/>
    </xf>
    <xf numFmtId="0" fontId="5" fillId="5" borderId="1" xfId="0" applyFont="1" applyFill="1" applyBorder="1" applyAlignment="1" applyProtection="1">
      <alignment horizontal="left" vertical="center" indent="1"/>
      <protection locked="0"/>
    </xf>
    <xf numFmtId="0" fontId="9" fillId="5" borderId="1" xfId="0" applyFont="1" applyFill="1" applyBorder="1" applyAlignment="1" applyProtection="1">
      <alignment horizontal="left" vertical="center" indent="1"/>
      <protection locked="0"/>
    </xf>
    <xf numFmtId="0" fontId="11" fillId="3" borderId="0" xfId="0" applyFont="1" applyFill="1" applyAlignment="1">
      <alignment horizontal="left" vertical="center" indent="1"/>
    </xf>
    <xf numFmtId="0" fontId="11" fillId="3" borderId="0" xfId="0" applyFont="1" applyFill="1" applyAlignment="1">
      <alignment horizontal="right" vertical="center" indent="1"/>
    </xf>
    <xf numFmtId="0" fontId="1" fillId="2" borderId="0" xfId="0" applyFont="1" applyFill="1" applyAlignment="1">
      <alignment horizontal="left" vertical="center" indent="1"/>
    </xf>
    <xf numFmtId="3" fontId="12" fillId="2" borderId="0" xfId="0" applyNumberFormat="1" applyFont="1" applyFill="1" applyAlignment="1">
      <alignment horizontal="right" vertical="center" indent="1"/>
    </xf>
    <xf numFmtId="0" fontId="13" fillId="2" borderId="0" xfId="0" applyFont="1" applyFill="1" applyAlignment="1">
      <alignment horizontal="left" vertical="center" indent="1"/>
    </xf>
    <xf numFmtId="0" fontId="12" fillId="2" borderId="0" xfId="0" applyFont="1" applyFill="1" applyAlignment="1">
      <alignment horizontal="left" vertical="center" wrapText="1" indent="1"/>
    </xf>
    <xf numFmtId="0" fontId="1" fillId="0" borderId="0" xfId="0" applyFont="1" applyAlignment="1">
      <alignment vertical="top"/>
    </xf>
    <xf numFmtId="0" fontId="15" fillId="0" borderId="0" xfId="0" applyFont="1" applyAlignment="1">
      <alignment vertical="top"/>
    </xf>
    <xf numFmtId="0" fontId="1" fillId="0" borderId="0" xfId="0" applyFont="1" applyAlignment="1">
      <alignment vertical="top" wrapText="1"/>
    </xf>
    <xf numFmtId="0" fontId="16" fillId="0" borderId="0" xfId="0" applyFont="1" applyAlignment="1">
      <alignment vertical="top"/>
    </xf>
    <xf numFmtId="0" fontId="17" fillId="0" borderId="0" xfId="0" applyFont="1"/>
    <xf numFmtId="0" fontId="14" fillId="0" borderId="0" xfId="0" applyFont="1"/>
    <xf numFmtId="0" fontId="18" fillId="2" borderId="0" xfId="0" applyFont="1" applyFill="1"/>
    <xf numFmtId="0" fontId="19" fillId="2" borderId="0" xfId="0" applyFont="1" applyFill="1" applyAlignment="1">
      <alignment vertical="top"/>
    </xf>
    <xf numFmtId="0" fontId="9" fillId="2" borderId="0" xfId="0" applyFont="1" applyFill="1" applyAlignment="1">
      <alignment vertical="top" wrapText="1"/>
    </xf>
    <xf numFmtId="0" fontId="20" fillId="2" borderId="0" xfId="0" applyFont="1" applyFill="1" applyAlignment="1">
      <alignment vertical="center"/>
    </xf>
    <xf numFmtId="3" fontId="21" fillId="2" borderId="0" xfId="0" applyNumberFormat="1" applyFont="1" applyFill="1" applyAlignment="1">
      <alignment horizontal="left"/>
    </xf>
    <xf numFmtId="0" fontId="11" fillId="3" borderId="0" xfId="0" applyFont="1" applyFill="1"/>
    <xf numFmtId="0" fontId="9" fillId="0" borderId="0" xfId="0" applyFont="1"/>
    <xf numFmtId="0" fontId="19" fillId="0" borderId="0" xfId="0" applyFont="1"/>
    <xf numFmtId="0" fontId="2" fillId="3" borderId="0" xfId="0" applyFont="1" applyFill="1" applyAlignment="1">
      <alignment horizontal="left" vertical="center" indent="1"/>
    </xf>
    <xf numFmtId="0" fontId="3" fillId="4" borderId="0" xfId="0" applyFont="1" applyFill="1" applyAlignment="1">
      <alignment horizontal="left" vertical="center" indent="1"/>
    </xf>
    <xf numFmtId="0" fontId="4" fillId="2" borderId="0" xfId="0" applyFont="1" applyFill="1" applyAlignment="1">
      <alignment horizontal="left"/>
    </xf>
    <xf numFmtId="0" fontId="6" fillId="5" borderId="1" xfId="0" applyFont="1" applyFill="1" applyBorder="1" applyAlignment="1" applyProtection="1">
      <alignment horizontal="left" vertical="center" indent="1"/>
      <protection locked="0"/>
    </xf>
    <xf numFmtId="0" fontId="7" fillId="2" borderId="0" xfId="0" applyFont="1" applyFill="1" applyAlignment="1">
      <alignment vertical="center"/>
    </xf>
    <xf numFmtId="0" fontId="8" fillId="6" borderId="2" xfId="0" applyFont="1" applyFill="1" applyBorder="1" applyAlignment="1">
      <alignment horizontal="center" vertical="center"/>
    </xf>
    <xf numFmtId="0" fontId="4"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vertical="top" wrapText="1"/>
    </xf>
    <xf numFmtId="0" fontId="14" fillId="2" borderId="0" xfId="0" applyFont="1" applyFill="1" applyAlignment="1">
      <alignment vertical="center"/>
    </xf>
  </cellXfs>
  <cellStyles count="1">
    <cellStyle name="Normal" xfId="0" builtinId="0"/>
  </cellStyles>
  <dxfs count="5">
    <dxf>
      <fill>
        <patternFill>
          <bgColor rgb="FFFFFFFF"/>
        </patternFill>
      </fill>
      <border>
        <left/>
        <right/>
        <top/>
        <bottom style="thin">
          <color rgb="FFD6DEE7"/>
        </bottom>
        <vertical/>
        <horizontal/>
      </border>
    </dxf>
    <dxf>
      <font>
        <i/>
        <color rgb="FF8A5300"/>
      </font>
    </dxf>
    <dxf>
      <fill>
        <patternFill>
          <bgColor rgb="FFF5FAFF"/>
        </patternFill>
      </fill>
    </dxf>
    <dxf>
      <font>
        <color rgb="FF1B2A38"/>
      </font>
    </dxf>
    <dxf>
      <font>
        <b/>
        <color rgb="FF0F6CBD"/>
      </font>
      <border>
        <left style="medium">
          <color rgb="FF0F6CBD"/>
        </left>
        <right/>
        <top/>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5</xdr:col>
      <xdr:colOff>1381124</xdr:colOff>
      <xdr:row>6</xdr:row>
      <xdr:rowOff>38100</xdr:rowOff>
    </xdr:from>
    <xdr:to>
      <xdr:col>8</xdr:col>
      <xdr:colOff>28574</xdr:colOff>
      <xdr:row>7</xdr:row>
      <xdr:rowOff>53975</xdr:rowOff>
    </xdr:to>
    <xdr:sp macro="" textlink="">
      <xdr:nvSpPr>
        <xdr:cNvPr id="2" name="Rectangle: Rounded Corners 1">
          <a:extLst>
            <a:ext uri="{FF2B5EF4-FFF2-40B4-BE49-F238E27FC236}">
              <a16:creationId xmlns:a16="http://schemas.microsoft.com/office/drawing/2014/main" id="{F8730AFF-9F81-4C3A-8546-08E479D38B16}"/>
            </a:ext>
            <a:ext uri="{6ECC49D1-AA05-4338-93AA-15A1B29DFB0A}">
              <asl:scriptLink xmlns:asl="http://schemas.microsoft.com/office/drawing/2021/scriptlink" val="{&quot;shareId&quot;:&quot;ms-officescript%3A%2F%2Fonedrive_business_sharinglink%2Fu!aHR0cHM6Ly9zaHJlZWthbWEtbXkuc2hhcmVwb2ludC5jb20vOnU6L3AvcHJhc2hhbnQvSVFDcnJHYVAyTTZFUjU4cFdUN0JvRnRKQVY4X0ZnbjJ0MGtLSXY5cE5UQ3FFT0k&quot;}"/>
            </a:ext>
          </a:extLst>
        </xdr:cNvPr>
        <xdr:cNvSpPr/>
      </xdr:nvSpPr>
      <xdr:spPr>
        <a:xfrm>
          <a:off x="9791699" y="1714500"/>
          <a:ext cx="6257925" cy="292100"/>
        </a:xfrm>
        <a:prstGeom prst="roundRect">
          <a:avLst/>
        </a:prstGeom>
        <a:solidFill>
          <a:srgbClr val="0070C0"/>
        </a:solidFill>
        <a:ln w="25400" cap="flat" cmpd="sng" algn="ctr">
          <a:solidFill>
            <a:schemeClr val="accent1">
              <a:shade val="1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Clear Search</a:t>
          </a:r>
        </a:p>
      </xdr:txBody>
    </xdr:sp>
    <xdr:clientData fLocksWithSheet="0"/>
  </xdr:twoCellAnchor>
  <xdr:twoCellAnchor editAs="absolute">
    <xdr:from>
      <xdr:col>3</xdr:col>
      <xdr:colOff>180975</xdr:colOff>
      <xdr:row>11</xdr:row>
      <xdr:rowOff>130061</xdr:rowOff>
    </xdr:from>
    <xdr:to>
      <xdr:col>3</xdr:col>
      <xdr:colOff>2009775</xdr:colOff>
      <xdr:row>30</xdr:row>
      <xdr:rowOff>349137</xdr:rowOff>
    </xdr:to>
    <mc:AlternateContent xmlns:mc="http://schemas.openxmlformats.org/markup-compatibility/2006">
      <mc:Choice xmlns:sle15="http://schemas.microsoft.com/office/drawing/2012/slicer" Requires="sle15">
        <xdr:graphicFrame macro="">
          <xdr:nvGraphicFramePr>
            <xdr:cNvPr id="3" name="Categories">
              <a:extLst>
                <a:ext uri="{FF2B5EF4-FFF2-40B4-BE49-F238E27FC236}">
                  <a16:creationId xmlns:a16="http://schemas.microsoft.com/office/drawing/2014/main" id="{6E373853-B612-4090-9749-FC8F97FDE2C6}"/>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dr:sp macro="" textlink="">
          <xdr:nvSpPr>
            <xdr:cNvPr id="0" name=""/>
            <xdr:cNvSpPr>
              <a:spLocks noTextEdit="1"/>
            </xdr:cNvSpPr>
          </xdr:nvSpPr>
          <xdr:spPr>
            <a:xfrm>
              <a:off x="2785599" y="3080282"/>
              <a:ext cx="1828800" cy="742604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pe_Group" xr10:uid="{BC85F3F4-AFF4-4312-9A33-068C62B274A3}" sourceName="Scope Group">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es" xr10:uid="{E7E46FF5-E73F-47F1-9DAA-8FD95A848E3B}" cache="Slicer_Scope_Group" caption="Categories" rowHeight="349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ocuments" displayName="tblDocuments" ref="A4:P113" totalsRowShown="0">
  <autoFilter ref="A4:P113" xr:uid="{00000000-0009-0000-0100-000001000000}"/>
  <tableColumns count="16">
    <tableColumn id="1" xr3:uid="{00000000-0010-0000-0000-000001000000}" name="Scope"/>
    <tableColumn id="2" xr3:uid="{00000000-0010-0000-0000-000002000000}" name="Document Type"/>
    <tableColumn id="3" xr3:uid="{00000000-0010-0000-0000-000003000000}" name="Document Name"/>
    <tableColumn id="4" xr3:uid="{00000000-0010-0000-0000-000004000000}" name="Document Link"/>
    <tableColumn id="5" xr3:uid="{00000000-0010-0000-0000-000005000000}" name="Description"/>
    <tableColumn id="6" xr3:uid="{00000000-0010-0000-0000-000006000000}" name="Keywords"/>
    <tableColumn id="7" xr3:uid="{00000000-0010-0000-0000-000007000000}" name="Scope Group">
      <calculatedColumnFormula>IF(TRIM(tblDocuments[[#This Row],[Scope]] &amp; "") = "", "(Unspecified)", TRIM(tblDocuments[[#This Row],[Scope]] &amp; ""))</calculatedColumnFormula>
    </tableColumn>
    <tableColumn id="8" xr3:uid="{00000000-0010-0000-0000-000008000000}" name="Visible">
      <calculatedColumnFormula>SUBTOTAL(103, tblDocuments[[#This Row],[Scope Group]])</calculatedColumnFormula>
    </tableColumn>
    <tableColumn id="9" xr3:uid="{00000000-0010-0000-0000-000009000000}" name="Search Key">
      <calculatedColumnFormula>"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calculatedColumnFormula>
    </tableColumn>
    <tableColumn id="10" xr3:uid="{00000000-0010-0000-0000-00000A000000}" name="Boost Key">
      <calculatedColumnFormula>"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calculatedColumnFormula>
    </tableColumn>
    <tableColumn id="11" xr3:uid="{00000000-0010-0000-0000-00000B000000}" name="Hits">
      <calculatedColumnFormula>(IF(Calc!$D$2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calculatedColumnFormula>
    </tableColumn>
    <tableColumn id="12" xr3:uid="{00000000-0010-0000-0000-00000C000000}" name="Score">
      <calculatedColumnFormula>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calculatedColumnFormula>
    </tableColumn>
    <tableColumn id="13" xr3:uid="{00000000-0010-0000-0000-00000D000000}" name="In Scope">
      <calculatedColumnFormula>IF(ScopeOverride = 1, 1, tblDocuments[[#This Row],[Visible]] * --(((TRIM(SelScope &amp; "") = "") + (TRIM(SelScope &amp; "") = "All") + (tblDocuments[[#This Row],[Scope Group]] = TRIM(SelScope &amp; ""))) &gt; 0))</calculatedColumnFormula>
    </tableColumn>
    <tableColumn id="14" xr3:uid="{00000000-0010-0000-0000-00000E000000}" name="Sort Key">
      <calculatedColumnFormula>IF(tblDocuments[[#This Row],[In Scope]] * IF(TermCount = 0, 1, IF(BestHits &gt; 0, --(tblDocuments[[#This Row],[Hits]] = BestHits), 0)) = 1, tblDocuments[[#This Row],[Score]] * 2000000 + (2000000 - ROW()), -1)</calculatedColumnFormula>
    </tableColumn>
    <tableColumn id="15" xr3:uid="{00000000-0010-0000-0000-00000F000000}" name="Display Name">
      <calculatedColumnFormula>IF(TRIM(tblDocuments[[#This Row],[Document Name]] &amp; "") = "", "(untitled document)", TRIM(tblDocuments[[#This Row],[Document Name]] &amp; "")) &amp; IF(LEFT(LOWER(TRIM(tblDocuments[[#This Row],[Document Link]] &amp; "")), 4) = "http", "", "   (no link)")</calculatedColumnFormula>
    </tableColumn>
    <tableColumn id="16" xr3:uid="{00000000-0010-0000-0000-000010000000}" name="Link Out">
      <calculatedColumnFormula>IF(LEFT(LOWER(TRIM(tblDocuments[[#This Row],[Document Link]] &amp; "")), 4) = "http", TRIM(tblDocuments[[#This Row],[Document Link]] &amp; ""), "")</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2324F"/>
  </sheetPr>
  <dimension ref="A1:AO212"/>
  <sheetViews>
    <sheetView showGridLines="0" tabSelected="1" zoomScale="113" workbookViewId="0">
      <selection activeCell="E7" sqref="E7:F7"/>
    </sheetView>
  </sheetViews>
  <sheetFormatPr defaultRowHeight="15" x14ac:dyDescent="0.25"/>
  <cols>
    <col min="1" max="1" width="2.7109375" style="1" customWidth="1"/>
    <col min="2" max="2" width="26.7109375" style="1" customWidth="1"/>
    <col min="3" max="3" width="9.7109375" style="1" customWidth="1"/>
    <col min="4" max="4" width="32.28515625" style="1" customWidth="1"/>
    <col min="5" max="5" width="54.7109375" style="1" customWidth="1"/>
    <col min="6" max="6" width="20.7109375" style="1" customWidth="1"/>
    <col min="7" max="7" width="18.7109375" style="1" customWidth="1"/>
    <col min="8" max="8" width="74.7109375" style="1" customWidth="1"/>
    <col min="9" max="9" width="2.7109375" style="1" customWidth="1"/>
    <col min="10" max="10" width="9.7109375" style="1" customWidth="1"/>
    <col min="11" max="11" width="9.7109375" style="1" hidden="1" customWidth="1"/>
    <col min="12" max="41" width="9.7109375" style="1" customWidth="1"/>
  </cols>
  <sheetData>
    <row r="1" spans="2:11" s="1" customFormat="1" ht="8.1" customHeight="1" x14ac:dyDescent="0.25"/>
    <row r="2" spans="2:11" ht="44.1" customHeight="1" x14ac:dyDescent="0.25">
      <c r="B2" s="25" t="s">
        <v>0</v>
      </c>
      <c r="C2" s="25"/>
      <c r="D2" s="25"/>
      <c r="E2" s="25"/>
      <c r="F2" s="25"/>
      <c r="G2" s="25"/>
      <c r="H2" s="25"/>
    </row>
    <row r="3" spans="2:11" ht="21.95" customHeight="1" x14ac:dyDescent="0.25">
      <c r="B3" s="26" t="str">
        <f>Calc!$B$11</f>
        <v>Search and browse the Azure VMware Solution document library   •   109 documents indexed   •   12 scopes</v>
      </c>
      <c r="C3" s="26"/>
      <c r="D3" s="26"/>
      <c r="E3" s="26"/>
      <c r="F3" s="26"/>
      <c r="G3" s="26"/>
      <c r="H3" s="26"/>
    </row>
    <row r="4" spans="2:11" s="1" customFormat="1" ht="12" customHeight="1" x14ac:dyDescent="0.25"/>
    <row r="5" spans="2:11" s="1" customFormat="1" ht="14.1" customHeight="1" x14ac:dyDescent="0.25">
      <c r="B5" s="2" t="s">
        <v>1</v>
      </c>
      <c r="E5" s="27" t="s">
        <v>2</v>
      </c>
      <c r="F5" s="27"/>
      <c r="G5" s="27"/>
      <c r="H5" s="27"/>
    </row>
    <row r="6" spans="2:11" s="1" customFormat="1" ht="33.950000000000003" customHeight="1" x14ac:dyDescent="0.25">
      <c r="B6" s="3" t="s">
        <v>3</v>
      </c>
      <c r="E6" s="28"/>
      <c r="F6" s="28"/>
      <c r="G6" s="28"/>
      <c r="H6" s="28"/>
    </row>
    <row r="7" spans="2:11" s="1" customFormat="1" ht="21.95" customHeight="1" x14ac:dyDescent="0.25">
      <c r="B7" s="2" t="s">
        <v>4</v>
      </c>
      <c r="E7" s="29" t="s">
        <v>5</v>
      </c>
      <c r="F7" s="29"/>
      <c r="G7" s="30"/>
      <c r="H7" s="30"/>
    </row>
    <row r="8" spans="2:11" s="1" customFormat="1" ht="26.1" customHeight="1" x14ac:dyDescent="0.25">
      <c r="B8" s="4" t="s">
        <v>590</v>
      </c>
    </row>
    <row r="9" spans="2:11" s="1" customFormat="1" ht="24" customHeight="1" x14ac:dyDescent="0.25">
      <c r="B9" s="31" t="s">
        <v>6</v>
      </c>
      <c r="C9" s="31"/>
      <c r="E9" s="32" t="str">
        <f>Calc!$B$9</f>
        <v>109 documents found across all scopes</v>
      </c>
      <c r="F9" s="32"/>
      <c r="G9" s="32"/>
      <c r="H9" s="32"/>
    </row>
    <row r="10" spans="2:11" s="1" customFormat="1" ht="8.1" customHeight="1" x14ac:dyDescent="0.25"/>
    <row r="11" spans="2:11" ht="21.95" customHeight="1" x14ac:dyDescent="0.25">
      <c r="B11" s="5" t="s">
        <v>7</v>
      </c>
      <c r="C11" s="6" t="s">
        <v>8</v>
      </c>
      <c r="E11" s="5" t="s">
        <v>9</v>
      </c>
      <c r="F11" s="5" t="s">
        <v>10</v>
      </c>
      <c r="G11" s="5" t="s">
        <v>7</v>
      </c>
      <c r="H11" s="5" t="s">
        <v>11</v>
      </c>
    </row>
    <row r="12" spans="2:11" ht="30" customHeight="1" x14ac:dyDescent="0.25">
      <c r="B12" s="7" t="str">
        <f>IFERROR(IF(INDEX(Calc!$M$2:$M$501, 1) = "", "", INDEX(Calc!$M$2:$M$501, 1)), "")</f>
        <v>All</v>
      </c>
      <c r="C12" s="8">
        <f>IF($B12 = "", "", IF($B12 = "All", VisibleDocs, IFERROR(SUMPRODUCT(--(tblDocuments[Scope Group] = $B12) * tblDocuments[Visible]), 0)))</f>
        <v>109</v>
      </c>
      <c r="E12" s="9" t="str">
        <f>IFERROR(IF($K12 = "", "", IF(INDEX(tblDocuments[Link Out], $K12) = "", INDEX(tblDocuments[Display Name], $K12), HYPERLINK(INDEX(tblDocuments[Link Out], $K12), INDEX(tblDocuments[Display Name], $K12)))), "")</f>
        <v>AVS Platform High Level Design</v>
      </c>
      <c r="F12" s="7" t="str">
        <f>IFERROR(IF($K12 = "", "", IF(TRIM(INDEX(tblDocuments[Document Type], $K12) &amp; "") = "", "—", TRIM(INDEX(tblDocuments[Document Type], $K12) &amp; ""))), "")</f>
        <v>HLD</v>
      </c>
      <c r="G12" s="7" t="str">
        <f>IFERROR(IF($K12 = "", "", INDEX(tblDocuments[Scope Group], $K12)), "")</f>
        <v>Design</v>
      </c>
      <c r="H12" s="10" t="str">
        <f>IFERROR(IF($K12 = "", "", IF(TRIM(INDEX(tblDocuments[Description], $K12) &amp; "") = "", "—", IF(LEN(TRIM(INDEX(tblDocuments[Description], $K12) &amp; "")) &gt; 165, LEFT(TRIM(INDEX(tblDocuments[Description], $K12) &amp; ""), 164) &amp; "…", TRIM(INDEX(tblDocuments[Description], $K12) &amp; "")))), "")</f>
        <v>End-to-end high level design for the Azure VMware Solution private cloud landing zone, covering region selection, SDDC sizing and connectivity.</v>
      </c>
      <c r="K12" s="1">
        <f>IFERROR(IF(1 &gt; ResultCount, "", MATCH(LARGE(tblDocuments[Sort Key], 1), tblDocuments[Sort Key], 0)), "")</f>
        <v>1</v>
      </c>
    </row>
    <row r="13" spans="2:11" ht="30" customHeight="1" x14ac:dyDescent="0.25">
      <c r="B13" s="7" t="str">
        <f>IFERROR(IF(INDEX(Calc!$M$2:$M$501, 2) = "", "", INDEX(Calc!$M$2:$M$501, 2)), "")</f>
        <v>(Unspecified)</v>
      </c>
      <c r="C13" s="8">
        <f>IF($B13 = "", "", IF($B13 = "All", VisibleDocs, IFERROR(SUMPRODUCT(--(tblDocuments[Scope Group] = $B13) * tblDocuments[Visible]), 0)))</f>
        <v>1</v>
      </c>
      <c r="E13" s="9" t="str">
        <f>IFERROR(IF($K13 = "", "", IF(INDEX(tblDocuments[Link Out], $K13) = "", INDEX(tblDocuments[Display Name], $K13), HYPERLINK(INDEX(tblDocuments[Link Out], $K13), INDEX(tblDocuments[Display Name], $K13)))), "")</f>
        <v>AVS Private Cloud Low Level Design</v>
      </c>
      <c r="F13" s="7" t="str">
        <f>IFERROR(IF($K13 = "", "", IF(TRIM(INDEX(tblDocuments[Document Type], $K13) &amp; "") = "", "—", TRIM(INDEX(tblDocuments[Document Type], $K13) &amp; ""))), "")</f>
        <v>LLD</v>
      </c>
      <c r="G13" s="7" t="str">
        <f>IFERROR(IF($K13 = "", "", INDEX(tblDocuments[Scope Group], $K13)), "")</f>
        <v>Design</v>
      </c>
      <c r="H13" s="10" t="str">
        <f>IFERROR(IF($K13 = "", "", IF(TRIM(INDEX(tblDocuments[Description], $K13) &amp; "") = "", "—", IF(LEN(TRIM(INDEX(tblDocuments[Description], $K13) &amp; "")) &gt; 165, LEFT(TRIM(INDEX(tblDocuments[Description], $K13) &amp; ""), 164) &amp; "…", TRIM(INDEX(tblDocuments[Description], $K13) &amp; "")))), "")</f>
        <v>Detailed build parameters for the production private cloud: cluster layout, host SKU, management network CIDRs and vCenter configuration.</v>
      </c>
      <c r="K13" s="1">
        <f>IFERROR(IF(2 &gt; ResultCount, "", MATCH(LARGE(tblDocuments[Sort Key], 2), tblDocuments[Sort Key], 0)), "")</f>
        <v>2</v>
      </c>
    </row>
    <row r="14" spans="2:11" ht="30" customHeight="1" x14ac:dyDescent="0.25">
      <c r="B14" s="7" t="str">
        <f>IFERROR(IF(INDEX(Calc!$M$2:$M$501, 3) = "", "", INDEX(Calc!$M$2:$M$501, 3)), "")</f>
        <v>Backup &amp; DR</v>
      </c>
      <c r="C14" s="8">
        <f>IF($B14 = "", "", IF($B14 = "All", VisibleDocs, IFERROR(SUMPRODUCT(--(tblDocuments[Scope Group] = $B14) * tblDocuments[Visible]), 0)))</f>
        <v>9</v>
      </c>
      <c r="E14" s="9" t="str">
        <f>IFERROR(IF($K14 = "", "", IF(INDEX(tblDocuments[Link Out], $K14) = "", INDEX(tblDocuments[Display Name], $K14), HYPERLINK(INDEX(tblDocuments[Link Out], $K14), INDEX(tblDocuments[Display Name], $K14)))), "")</f>
        <v>AVS Reference Architecture Overview</v>
      </c>
      <c r="F14" s="7" t="str">
        <f>IFERROR(IF($K14 = "", "", IF(TRIM(INDEX(tblDocuments[Document Type], $K14) &amp; "") = "", "—", TRIM(INDEX(tblDocuments[Document Type], $K14) &amp; ""))), "")</f>
        <v>Architecture</v>
      </c>
      <c r="G14" s="7" t="str">
        <f>IFERROR(IF($K14 = "", "", INDEX(tblDocuments[Scope Group], $K14)), "")</f>
        <v>Design</v>
      </c>
      <c r="H14" s="10" t="str">
        <f>IFERROR(IF($K14 = "", "", IF(TRIM(INDEX(tblDocuments[Description], $K14) &amp; "") = "", "—", IF(LEN(TRIM(INDEX(tblDocuments[Description], $K14) &amp; "")) &gt; 165, LEFT(TRIM(INDEX(tblDocuments[Description], $K14) &amp; ""), 164) &amp; "…", TRIM(INDEX(tblDocuments[Description], $K14) &amp; "")))), "")</f>
        <v>Reference architecture describing how AVS integrates with Azure native services, ExpressRoute Global Reach and on-premises vSphere.</v>
      </c>
      <c r="K14" s="1">
        <f>IFERROR(IF(3 &gt; ResultCount, "", MATCH(LARGE(tblDocuments[Sort Key], 3), tblDocuments[Sort Key], 0)), "")</f>
        <v>3</v>
      </c>
    </row>
    <row r="15" spans="2:11" ht="30" customHeight="1" x14ac:dyDescent="0.25">
      <c r="B15" s="7" t="str">
        <f>IFERROR(IF(INDEX(Calc!$M$2:$M$501, 4) = "", "", INDEX(Calc!$M$2:$M$501, 4)), "")</f>
        <v>Cost</v>
      </c>
      <c r="C15" s="8">
        <f>IF($B15 = "", "", IF($B15 = "All", VisibleDocs, IFERROR(SUMPRODUCT(--(tblDocuments[Scope Group] = $B15) * tblDocuments[Visible]), 0)))</f>
        <v>5</v>
      </c>
      <c r="E15" s="9" t="str">
        <f>IFERROR(IF($K15 = "", "", IF(INDEX(tblDocuments[Link Out], $K15) = "", INDEX(tblDocuments[Display Name], $K15), HYPERLINK(INDEX(tblDocuments[Link Out], $K15), INDEX(tblDocuments[Display Name], $K15)))), "")</f>
        <v>AVS Logical Architecture Diagram</v>
      </c>
      <c r="F15" s="7" t="str">
        <f>IFERROR(IF($K15 = "", "", IF(TRIM(INDEX(tblDocuments[Document Type], $K15) &amp; "") = "", "—", TRIM(INDEX(tblDocuments[Document Type], $K15) &amp; ""))), "")</f>
        <v>Diagram</v>
      </c>
      <c r="G15" s="7" t="str">
        <f>IFERROR(IF($K15 = "", "", INDEX(tblDocuments[Scope Group], $K15)), "")</f>
        <v>Design</v>
      </c>
      <c r="H15" s="10" t="str">
        <f>IFERROR(IF($K15 = "", "", IF(TRIM(INDEX(tblDocuments[Description], $K15) &amp; "") = "", "—", IF(LEN(TRIM(INDEX(tblDocuments[Description], $K15) &amp; "")) &gt; 165, LEFT(TRIM(INDEX(tblDocuments[Description], $K15) &amp; ""), 164) &amp; "…", TRIM(INDEX(tblDocuments[Description], $K15) &amp; "")))), "")</f>
        <v>Visio source for the logical architecture diagram used across the programme design authority pack.</v>
      </c>
      <c r="K15" s="1">
        <f>IFERROR(IF(4 &gt; ResultCount, "", MATCH(LARGE(tblDocuments[Sort Key], 4), tblDocuments[Sort Key], 0)), "")</f>
        <v>4</v>
      </c>
    </row>
    <row r="16" spans="2:11" ht="30" customHeight="1" x14ac:dyDescent="0.25">
      <c r="B16" s="7" t="str">
        <f>IFERROR(IF(INDEX(Calc!$M$2:$M$501, 5) = "", "", INDEX(Calc!$M$2:$M$501, 5)), "")</f>
        <v>Design</v>
      </c>
      <c r="C16" s="8">
        <f>IF($B16 = "", "", IF($B16 = "All", VisibleDocs, IFERROR(SUMPRODUCT(--(tblDocuments[Scope Group] = $B16) * tblDocuments[Visible]), 0)))</f>
        <v>12</v>
      </c>
      <c r="E16" s="9" t="str">
        <f>IFERROR(IF($K16 = "", "", IF(INDEX(tblDocuments[Link Out], $K16) = "", INDEX(tblDocuments[Display Name], $K16), HYPERLINK(INDEX(tblDocuments[Link Out], $K16), INDEX(tblDocuments[Display Name], $K16)))), "")</f>
        <v>ADR-014 Host SKU Selection AV36P vs AV52</v>
      </c>
      <c r="F16" s="7" t="str">
        <f>IFERROR(IF($K16 = "", "", IF(TRIM(INDEX(tblDocuments[Document Type], $K16) &amp; "") = "", "—", TRIM(INDEX(tblDocuments[Document Type], $K16) &amp; ""))), "")</f>
        <v>Decision Record</v>
      </c>
      <c r="G16" s="7" t="str">
        <f>IFERROR(IF($K16 = "", "", INDEX(tblDocuments[Scope Group], $K16)), "")</f>
        <v>Design</v>
      </c>
      <c r="H16" s="10" t="str">
        <f>IFERROR(IF($K16 = "", "", IF(TRIM(INDEX(tblDocuments[Description], $K16) &amp; "") = "", "—", IF(LEN(TRIM(INDEX(tblDocuments[Description], $K16) &amp; "")) &gt; 165, LEFT(TRIM(INDEX(tblDocuments[Description], $K16) &amp; ""), 164) &amp; "…", TRIM(INDEX(tblDocuments[Description], $K16) &amp; "")))), "")</f>
        <v>Architecture decision record capturing the comparison and final selection of the AV36P host SKU for the production estate.</v>
      </c>
      <c r="K16" s="1">
        <f>IFERROR(IF(5 &gt; ResultCount, "", MATCH(LARGE(tblDocuments[Sort Key], 5), tblDocuments[Sort Key], 0)), "")</f>
        <v>5</v>
      </c>
    </row>
    <row r="17" spans="2:11" ht="30" customHeight="1" x14ac:dyDescent="0.25">
      <c r="B17" s="7" t="str">
        <f>IFERROR(IF(INDEX(Calc!$M$2:$M$501, 6) = "", "", INDEX(Calc!$M$2:$M$501, 6)), "")</f>
        <v>Governance</v>
      </c>
      <c r="C17" s="8">
        <f>IF($B17 = "", "", IF($B17 = "All", VisibleDocs, IFERROR(SUMPRODUCT(--(tblDocuments[Scope Group] = $B17) * tblDocuments[Visible]), 0)))</f>
        <v>7</v>
      </c>
      <c r="E17" s="9" t="str">
        <f>IFERROR(IF($K17 = "", "", IF(INDEX(tblDocuments[Link Out], $K17) = "", INDEX(tblDocuments[Display Name], $K17), HYPERLINK(INDEX(tblDocuments[Link Out], $K17), INDEX(tblDocuments[Display Name], $K17)))), "")</f>
        <v>AVS Sizing and Capacity Assessment</v>
      </c>
      <c r="F17" s="7" t="str">
        <f>IFERROR(IF($K17 = "", "", IF(TRIM(INDEX(tblDocuments[Document Type], $K17) &amp; "") = "", "—", TRIM(INDEX(tblDocuments[Document Type], $K17) &amp; ""))), "")</f>
        <v>Assessment</v>
      </c>
      <c r="G17" s="7" t="str">
        <f>IFERROR(IF($K17 = "", "", INDEX(tblDocuments[Scope Group], $K17)), "")</f>
        <v>Design</v>
      </c>
      <c r="H17" s="10" t="str">
        <f>IFERROR(IF($K17 = "", "", IF(TRIM(INDEX(tblDocuments[Description], $K17) &amp; "") = "", "—", IF(LEN(TRIM(INDEX(tblDocuments[Description], $K17) &amp; "")) &gt; 165, LEFT(TRIM(INDEX(tblDocuments[Description], $K17) &amp; ""), 164) &amp; "…", TRIM(INDEX(tblDocuments[Description], $K17) &amp; "")))), "")</f>
        <v>Capacity model translating the discovered on-premises estate into required AVS node counts, including growth and slack assumptions.</v>
      </c>
      <c r="K17" s="1">
        <f>IFERROR(IF(6 &gt; ResultCount, "", MATCH(LARGE(tblDocuments[Sort Key], 6), tblDocuments[Sort Key], 0)), "")</f>
        <v>6</v>
      </c>
    </row>
    <row r="18" spans="2:11" ht="30" customHeight="1" x14ac:dyDescent="0.25">
      <c r="B18" s="7" t="str">
        <f>IFERROR(IF(INDEX(Calc!$M$2:$M$501, 7) = "", "", INDEX(Calc!$M$2:$M$501, 7)), "")</f>
        <v>Identity</v>
      </c>
      <c r="C18" s="8">
        <f>IF($B18 = "", "", IF($B18 = "All", VisibleDocs, IFERROR(SUMPRODUCT(--(tblDocuments[Scope Group] = $B18) * tblDocuments[Visible]), 0)))</f>
        <v>6</v>
      </c>
      <c r="E18" s="9" t="str">
        <f>IFERROR(IF($K18 = "", "", IF(INDEX(tblDocuments[Link Out], $K18) = "", INDEX(tblDocuments[Display Name], $K18), HYPERLINK(INDEX(tblDocuments[Link Out], $K18), INDEX(tblDocuments[Display Name], $K18)))), "")</f>
        <v>Stretched Clusters for AVS Explained</v>
      </c>
      <c r="F18" s="7" t="str">
        <f>IFERROR(IF($K18 = "", "", IF(TRIM(INDEX(tblDocuments[Document Type], $K18) &amp; "") = "", "—", TRIM(INDEX(tblDocuments[Document Type], $K18) &amp; ""))), "")</f>
        <v>Whitepaper</v>
      </c>
      <c r="G18" s="7" t="str">
        <f>IFERROR(IF($K18 = "", "", INDEX(tblDocuments[Scope Group], $K18)), "")</f>
        <v>Design</v>
      </c>
      <c r="H18" s="10" t="str">
        <f>IFERROR(IF($K18 = "", "", IF(TRIM(INDEX(tblDocuments[Description], $K18) &amp; "") = "", "—", IF(LEN(TRIM(INDEX(tblDocuments[Description], $K18) &amp; "")) &gt; 165, LEFT(TRIM(INDEX(tblDocuments[Description], $K18) &amp; ""), 164) &amp; "…", TRIM(INDEX(tblDocuments[Description], $K18) &amp; "")))), "")</f>
        <v>Whitepaper on stretched cluster availability zones in AVS, the SLA implications and when the pattern is appropriate.</v>
      </c>
      <c r="K18" s="1">
        <f>IFERROR(IF(7 &gt; ResultCount, "", MATCH(LARGE(tblDocuments[Sort Key], 7), tblDocuments[Sort Key], 0)), "")</f>
        <v>7</v>
      </c>
    </row>
    <row r="19" spans="2:11" ht="30" customHeight="1" x14ac:dyDescent="0.25">
      <c r="B19" s="7" t="str">
        <f>IFERROR(IF(INDEX(Calc!$M$2:$M$501, 8) = "", "", INDEX(Calc!$M$2:$M$501, 8)), "")</f>
        <v>Migration</v>
      </c>
      <c r="C19" s="8">
        <f>IF($B19 = "", "", IF($B19 = "All", VisibleDocs, IFERROR(SUMPRODUCT(--(tblDocuments[Scope Group] = $B19) * tblDocuments[Visible]), 0)))</f>
        <v>15</v>
      </c>
      <c r="E19" s="9" t="str">
        <f>IFERROR(IF($K19 = "", "", IF(INDEX(tblDocuments[Link Out], $K19) = "", INDEX(tblDocuments[Display Name], $K19), HYPERLINK(INDEX(tblDocuments[Link Out], $K19), INDEX(tblDocuments[Display Name], $K19)))), "")</f>
        <v>AVS Landing Zone Accelerator Walkthrough</v>
      </c>
      <c r="F19" s="7" t="str">
        <f>IFERROR(IF($K19 = "", "", IF(TRIM(INDEX(tblDocuments[Document Type], $K19) &amp; "") = "", "—", TRIM(INDEX(tblDocuments[Document Type], $K19) &amp; ""))), "")</f>
        <v>Guide</v>
      </c>
      <c r="G19" s="7" t="str">
        <f>IFERROR(IF($K19 = "", "", INDEX(tblDocuments[Scope Group], $K19)), "")</f>
        <v>Design</v>
      </c>
      <c r="H19" s="10" t="str">
        <f>IFERROR(IF($K19 = "", "", IF(TRIM(INDEX(tblDocuments[Description], $K19) &amp; "") = "", "—", IF(LEN(TRIM(INDEX(tblDocuments[Description], $K19) &amp; "")) &gt; 165, LEFT(TRIM(INDEX(tblDocuments[Description], $K19) &amp; ""), 164) &amp; "…", TRIM(INDEX(tblDocuments[Description], $K19) &amp; "")))), "")</f>
        <v>Walkthrough of the Microsoft AVS landing zone accelerator and the deltas applied for this programme.</v>
      </c>
      <c r="K19" s="1">
        <f>IFERROR(IF(8 &gt; ResultCount, "", MATCH(LARGE(tblDocuments[Sort Key], 8), tblDocuments[Sort Key], 0)), "")</f>
        <v>8</v>
      </c>
    </row>
    <row r="20" spans="2:11" ht="30" customHeight="1" x14ac:dyDescent="0.25">
      <c r="B20" s="7" t="str">
        <f>IFERROR(IF(INDEX(Calc!$M$2:$M$501, 9) = "", "", INDEX(Calc!$M$2:$M$501, 9)), "")</f>
        <v>Network</v>
      </c>
      <c r="C20" s="8">
        <f>IF($B20 = "", "", IF($B20 = "All", VisibleDocs, IFERROR(SUMPRODUCT(--(tblDocuments[Scope Group] = $B20) * tblDocuments[Visible]), 0)))</f>
        <v>17</v>
      </c>
      <c r="E20" s="9" t="str">
        <f>IFERROR(IF($K20 = "", "", IF(INDEX(tblDocuments[Link Out], $K20) = "", INDEX(tblDocuments[Display Name], $K20), HYPERLINK(INDEX(tblDocuments[Link Out], $K20), INDEX(tblDocuments[Display Name], $K20)))), "")</f>
        <v>Hybrid Connectivity High Level Design</v>
      </c>
      <c r="F20" s="7" t="str">
        <f>IFERROR(IF($K20 = "", "", IF(TRIM(INDEX(tblDocuments[Document Type], $K20) &amp; "") = "", "—", TRIM(INDEX(tblDocuments[Document Type], $K20) &amp; ""))), "")</f>
        <v>HLD</v>
      </c>
      <c r="G20" s="7" t="str">
        <f>IFERROR(IF($K20 = "", "", INDEX(tblDocuments[Scope Group], $K20)), "")</f>
        <v>Design</v>
      </c>
      <c r="H20" s="10" t="str">
        <f>IFERROR(IF($K20 = "", "", IF(TRIM(INDEX(tblDocuments[Description], $K20) &amp; "") = "", "—", IF(LEN(TRIM(INDEX(tblDocuments[Description], $K20) &amp; "")) &gt; 165, LEFT(TRIM(INDEX(tblDocuments[Description], $K20) &amp; ""), 164) &amp; "…", TRIM(INDEX(tblDocuments[Description], $K20) &amp; "")))), "")</f>
        <v>High level design for hybrid connectivity between on-premises datacentres, Azure regions and the AVS private clouds.</v>
      </c>
      <c r="K20" s="1">
        <f>IFERROR(IF(9 &gt; ResultCount, "", MATCH(LARGE(tblDocuments[Sort Key], 9), tblDocuments[Sort Key], 0)), "")</f>
        <v>9</v>
      </c>
    </row>
    <row r="21" spans="2:11" ht="30" customHeight="1" x14ac:dyDescent="0.25">
      <c r="B21" s="7" t="str">
        <f>IFERROR(IF(INDEX(Calc!$M$2:$M$501, 10) = "", "", INDEX(Calc!$M$2:$M$501, 10)), "")</f>
        <v>Operations</v>
      </c>
      <c r="C21" s="8">
        <f>IF($B21 = "", "", IF($B21 = "All", VisibleDocs, IFERROR(SUMPRODUCT(--(tblDocuments[Scope Group] = $B21) * tblDocuments[Visible]), 0)))</f>
        <v>14</v>
      </c>
      <c r="E21" s="9" t="str">
        <f>IFERROR(IF($K21 = "", "", IF(INDEX(tblDocuments[Link Out], $K21) = "", INDEX(tblDocuments[Display Name], $K21), HYPERLINK(INDEX(tblDocuments[Link Out], $K21), INDEX(tblDocuments[Display Name], $K21)))), "")</f>
        <v>Design Document Template</v>
      </c>
      <c r="F21" s="7" t="str">
        <f>IFERROR(IF($K21 = "", "", IF(TRIM(INDEX(tblDocuments[Document Type], $K21) &amp; "") = "", "—", TRIM(INDEX(tblDocuments[Document Type], $K21) &amp; ""))), "")</f>
        <v>Template</v>
      </c>
      <c r="G21" s="7" t="str">
        <f>IFERROR(IF($K21 = "", "", INDEX(tblDocuments[Scope Group], $K21)), "")</f>
        <v>Design</v>
      </c>
      <c r="H21" s="10" t="str">
        <f>IFERROR(IF($K21 = "", "", IF(TRIM(INDEX(tblDocuments[Description], $K21) &amp; "") = "", "—", IF(LEN(TRIM(INDEX(tblDocuments[Description], $K21) &amp; "")) &gt; 165, LEFT(TRIM(INDEX(tblDocuments[Description], $K21) &amp; ""), 164) &amp; "…", TRIM(INDEX(tblDocuments[Description], $K21) &amp; "")))), "")</f>
        <v>Programme standard template for HLD and LLD deliverables including the mandatory design decision and assumption tables.</v>
      </c>
      <c r="K21" s="1">
        <f>IFERROR(IF(10 &gt; ResultCount, "", MATCH(LARGE(tblDocuments[Sort Key], 10), tblDocuments[Sort Key], 0)), "")</f>
        <v>10</v>
      </c>
    </row>
    <row r="22" spans="2:11" ht="30" customHeight="1" x14ac:dyDescent="0.25">
      <c r="B22" s="7" t="str">
        <f>IFERROR(IF(INDEX(Calc!$M$2:$M$501, 11) = "", "", INDEX(Calc!$M$2:$M$501, 11)), "")</f>
        <v>Security</v>
      </c>
      <c r="C22" s="8">
        <f>IF($B22 = "", "", IF($B22 = "All", VisibleDocs, IFERROR(SUMPRODUCT(--(tblDocuments[Scope Group] = $B22) * tblDocuments[Visible]), 0)))</f>
        <v>12</v>
      </c>
      <c r="E22" s="9" t="str">
        <f>IFERROR(IF($K22 = "", "", IF(INDEX(tblDocuments[Link Out], $K22) = "", INDEX(tblDocuments[Display Name], $K22), HYPERLINK(INDEX(tblDocuments[Link Out], $K22), INDEX(tblDocuments[Display Name], $K22)))), "")</f>
        <v>AVS Well Architected Review Findings</v>
      </c>
      <c r="F22" s="7" t="str">
        <f>IFERROR(IF($K22 = "", "", IF(TRIM(INDEX(tblDocuments[Document Type], $K22) &amp; "") = "", "—", TRIM(INDEX(tblDocuments[Document Type], $K22) &amp; ""))), "")</f>
        <v>Report</v>
      </c>
      <c r="G22" s="7" t="str">
        <f>IFERROR(IF($K22 = "", "", INDEX(tblDocuments[Scope Group], $K22)), "")</f>
        <v>Design</v>
      </c>
      <c r="H22" s="10" t="str">
        <f>IFERROR(IF($K22 = "", "", IF(TRIM(INDEX(tblDocuments[Description], $K22) &amp; "") = "", "—", IF(LEN(TRIM(INDEX(tblDocuments[Description], $K22) &amp; "")) &gt; 165, LEFT(TRIM(INDEX(tblDocuments[Description], $K22) &amp; ""), 164) &amp; "…", TRIM(INDEX(tblDocuments[Description], $K22) &amp; "")))), "")</f>
        <v>Findings and prioritised recommendations from the Well Architected Framework review of the AVS platform.</v>
      </c>
      <c r="K22" s="1">
        <f>IFERROR(IF(11 &gt; ResultCount, "", MATCH(LARGE(tblDocuments[Sort Key], 11), tblDocuments[Sort Key], 0)), "")</f>
        <v>11</v>
      </c>
    </row>
    <row r="23" spans="2:11" ht="30" customHeight="1" x14ac:dyDescent="0.25">
      <c r="B23" s="7" t="str">
        <f>IFERROR(IF(INDEX(Calc!$M$2:$M$501, 12) = "", "", INDEX(Calc!$M$2:$M$501, 12)), "")</f>
        <v>Storage</v>
      </c>
      <c r="C23" s="8">
        <f>IF($B23 = "", "", IF($B23 = "All", VisibleDocs, IFERROR(SUMPRODUCT(--(tblDocuments[Scope Group] = $B23) * tblDocuments[Visible]), 0)))</f>
        <v>6</v>
      </c>
      <c r="E23" s="9" t="str">
        <f>IFERROR(IF($K23 = "", "", IF(INDEX(tblDocuments[Link Out], $K23) = "", INDEX(tblDocuments[Display Name], $K23), HYPERLINK(INDEX(tblDocuments[Link Out], $K23), INDEX(tblDocuments[Display Name], $K23)))), "")</f>
        <v>AVS Migration Strategy and Approach</v>
      </c>
      <c r="F23" s="7" t="str">
        <f>IFERROR(IF($K23 = "", "", IF(TRIM(INDEX(tblDocuments[Document Type], $K23) &amp; "") = "", "—", TRIM(INDEX(tblDocuments[Document Type], $K23) &amp; ""))), "")</f>
        <v>Strategy</v>
      </c>
      <c r="G23" s="7" t="str">
        <f>IFERROR(IF($K23 = "", "", INDEX(tblDocuments[Scope Group], $K23)), "")</f>
        <v>Migration</v>
      </c>
      <c r="H23" s="10" t="str">
        <f>IFERROR(IF($K23 = "", "", IF(TRIM(INDEX(tblDocuments[Description], $K23) &amp; "") = "", "—", IF(LEN(TRIM(INDEX(tblDocuments[Description], $K23) &amp; "")) &gt; 165, LEFT(TRIM(INDEX(tblDocuments[Description], $K23) &amp; ""), 164) &amp; "…", TRIM(INDEX(tblDocuments[Description], $K23) &amp; "")))), "")</f>
        <v>Overall migration strategy covering wave planning, the 6R disposition model and the cutover governance model.</v>
      </c>
      <c r="K23" s="1">
        <f>IFERROR(IF(12 &gt; ResultCount, "", MATCH(LARGE(tblDocuments[Sort Key], 12), tblDocuments[Sort Key], 0)), "")</f>
        <v>12</v>
      </c>
    </row>
    <row r="24" spans="2:11" ht="30" customHeight="1" x14ac:dyDescent="0.25">
      <c r="B24" s="7" t="str">
        <f>IFERROR(IF(INDEX(Calc!$M$2:$M$501, 13) = "", "", INDEX(Calc!$M$2:$M$501, 13)), "")</f>
        <v>Training</v>
      </c>
      <c r="C24" s="8">
        <f>IF($B24 = "", "", IF($B24 = "All", VisibleDocs, IFERROR(SUMPRODUCT(--(tblDocuments[Scope Group] = $B24) * tblDocuments[Visible]), 0)))</f>
        <v>5</v>
      </c>
      <c r="E24" s="9" t="str">
        <f>IFERROR(IF($K24 = "", "", IF(INDEX(tblDocuments[Link Out], $K24) = "", INDEX(tblDocuments[Display Name], $K24), HYPERLINK(INDEX(tblDocuments[Link Out], $K24), INDEX(tblDocuments[Display Name], $K24)))), "")</f>
        <v>HCX Bulk Migration Runbook</v>
      </c>
      <c r="F24" s="7" t="str">
        <f>IFERROR(IF($K24 = "", "", IF(TRIM(INDEX(tblDocuments[Document Type], $K24) &amp; "") = "", "—", TRIM(INDEX(tblDocuments[Document Type], $K24) &amp; ""))), "")</f>
        <v>Runbook</v>
      </c>
      <c r="G24" s="7" t="str">
        <f>IFERROR(IF($K24 = "", "", INDEX(tblDocuments[Scope Group], $K24)), "")</f>
        <v>Migration</v>
      </c>
      <c r="H24" s="10" t="str">
        <f>IFERROR(IF($K24 = "", "", IF(TRIM(INDEX(tblDocuments[Description], $K24) &amp; "") = "", "—", IF(LEN(TRIM(INDEX(tblDocuments[Description], $K24) &amp; "")) &gt; 165, LEFT(TRIM(INDEX(tblDocuments[Description], $K24) &amp; ""), 164) &amp; "…", TRIM(INDEX(tblDocuments[Description], $K24) &amp; "")))), "")</f>
        <v>Step by step runbook for executing an HCX bulk migration wave, including pre-checks, execution and post-migration validation.</v>
      </c>
      <c r="K24" s="1">
        <f>IFERROR(IF(13 &gt; ResultCount, "", MATCH(LARGE(tblDocuments[Sort Key], 13), tblDocuments[Sort Key], 0)), "")</f>
        <v>13</v>
      </c>
    </row>
    <row r="25" spans="2:11" ht="30" customHeight="1" x14ac:dyDescent="0.25">
      <c r="B25" s="7" t="str">
        <f>IFERROR(IF(INDEX(Calc!$M$2:$M$501, 14) = "", "", INDEX(Calc!$M$2:$M$501, 14)), "")</f>
        <v/>
      </c>
      <c r="C25" s="8" t="str">
        <f>IF($B25 = "", "", IF($B25 = "All", VisibleDocs, IFERROR(SUMPRODUCT(--(tblDocuments[Scope Group] = $B25) * tblDocuments[Visible]), 0)))</f>
        <v/>
      </c>
      <c r="E25" s="9" t="str">
        <f>IFERROR(IF($K25 = "", "", IF(INDEX(tblDocuments[Link Out], $K25) = "", INDEX(tblDocuments[Display Name], $K25), HYPERLINK(INDEX(tblDocuments[Link Out], $K25), INDEX(tblDocuments[Display Name], $K25)))), "")</f>
        <v>HCX vMotion Live Migration Runbook</v>
      </c>
      <c r="F25" s="7" t="str">
        <f>IFERROR(IF($K25 = "", "", IF(TRIM(INDEX(tblDocuments[Document Type], $K25) &amp; "") = "", "—", TRIM(INDEX(tblDocuments[Document Type], $K25) &amp; ""))), "")</f>
        <v>Runbook</v>
      </c>
      <c r="G25" s="7" t="str">
        <f>IFERROR(IF($K25 = "", "", INDEX(tblDocuments[Scope Group], $K25)), "")</f>
        <v>Migration</v>
      </c>
      <c r="H25" s="10" t="str">
        <f>IFERROR(IF($K25 = "", "", IF(TRIM(INDEX(tblDocuments[Description], $K25) &amp; "") = "", "—", IF(LEN(TRIM(INDEX(tblDocuments[Description], $K25) &amp; "")) &gt; 165, LEFT(TRIM(INDEX(tblDocuments[Description], $K25) &amp; ""), 164) &amp; "…", TRIM(INDEX(tblDocuments[Description], $K25) &amp; "")))), "")</f>
        <v>Runbook for zero downtime live migration of tier 1 workloads using HCX vMotion.</v>
      </c>
      <c r="K25" s="1">
        <f>IFERROR(IF(14 &gt; ResultCount, "", MATCH(LARGE(tblDocuments[Sort Key], 14), tblDocuments[Sort Key], 0)), "")</f>
        <v>14</v>
      </c>
    </row>
    <row r="26" spans="2:11" ht="30" customHeight="1" x14ac:dyDescent="0.25">
      <c r="B26" s="7" t="str">
        <f>IFERROR(IF(INDEX(Calc!$M$2:$M$501, 15) = "", "", INDEX(Calc!$M$2:$M$501, 15)), "")</f>
        <v/>
      </c>
      <c r="C26" s="8" t="str">
        <f>IF($B26 = "", "", IF($B26 = "All", VisibleDocs, IFERROR(SUMPRODUCT(--(tblDocuments[Scope Group] = $B26) * tblDocuments[Visible]), 0)))</f>
        <v/>
      </c>
      <c r="E26" s="9" t="str">
        <f>IFERROR(IF($K26 = "", "", IF(INDEX(tblDocuments[Link Out], $K26) = "", INDEX(tblDocuments[Display Name], $K26), HYPERLINK(INDEX(tblDocuments[Link Out], $K26), INDEX(tblDocuments[Display Name], $K26)))), "")</f>
        <v>VMware HCX Deployment and Configuration Guide</v>
      </c>
      <c r="F26" s="7" t="str">
        <f>IFERROR(IF($K26 = "", "", IF(TRIM(INDEX(tblDocuments[Document Type], $K26) &amp; "") = "", "—", TRIM(INDEX(tblDocuments[Document Type], $K26) &amp; ""))), "")</f>
        <v>Guide</v>
      </c>
      <c r="G26" s="7" t="str">
        <f>IFERROR(IF($K26 = "", "", INDEX(tblDocuments[Scope Group], $K26)), "")</f>
        <v>Migration</v>
      </c>
      <c r="H26" s="10" t="str">
        <f>IFERROR(IF($K26 = "", "", IF(TRIM(INDEX(tblDocuments[Description], $K26) &amp; "") = "", "—", IF(LEN(TRIM(INDEX(tblDocuments[Description], $K26) &amp; "")) &gt; 165, LEFT(TRIM(INDEX(tblDocuments[Description], $K26) &amp; ""), 164) &amp; "…", TRIM(INDEX(tblDocuments[Description], $K26) &amp; "")))), "")</f>
        <v>Deployment guide for HCX Connector and HCX Cloud Manager, service mesh creation and network extension setup.</v>
      </c>
      <c r="K26" s="1">
        <f>IFERROR(IF(15 &gt; ResultCount, "", MATCH(LARGE(tblDocuments[Sort Key], 15), tblDocuments[Sort Key], 0)), "")</f>
        <v>15</v>
      </c>
    </row>
    <row r="27" spans="2:11" ht="30" customHeight="1" x14ac:dyDescent="0.25">
      <c r="B27" s="7" t="str">
        <f>IFERROR(IF(INDEX(Calc!$M$2:$M$501, 16) = "", "", INDEX(Calc!$M$2:$M$501, 16)), "")</f>
        <v/>
      </c>
      <c r="C27" s="8" t="str">
        <f>IF($B27 = "", "", IF($B27 = "All", VisibleDocs, IFERROR(SUMPRODUCT(--(tblDocuments[Scope Group] = $B27) * tblDocuments[Visible]), 0)))</f>
        <v/>
      </c>
      <c r="E27" s="9" t="str">
        <f>IFERROR(IF($K27 = "", "", IF(INDEX(tblDocuments[Link Out], $K27) = "", INDEX(tblDocuments[Display Name], $K27), HYPERLINK(INDEX(tblDocuments[Link Out], $K27), INDEX(tblDocuments[Display Name], $K27)))), "")</f>
        <v>Migration Wave Readiness Checklist</v>
      </c>
      <c r="F27" s="7" t="str">
        <f>IFERROR(IF($K27 = "", "", IF(TRIM(INDEX(tblDocuments[Document Type], $K27) &amp; "") = "", "—", TRIM(INDEX(tblDocuments[Document Type], $K27) &amp; ""))), "")</f>
        <v>Checklist</v>
      </c>
      <c r="G27" s="7" t="str">
        <f>IFERROR(IF($K27 = "", "", INDEX(tblDocuments[Scope Group], $K27)), "")</f>
        <v>Migration</v>
      </c>
      <c r="H27" s="10" t="str">
        <f>IFERROR(IF($K27 = "", "", IF(TRIM(INDEX(tblDocuments[Description], $K27) &amp; "") = "", "—", IF(LEN(TRIM(INDEX(tblDocuments[Description], $K27) &amp; "")) &gt; 165, LEFT(TRIM(INDEX(tblDocuments[Description], $K27) &amp; ""), 164) &amp; "…", TRIM(INDEX(tblDocuments[Description], $K27) &amp; "")))), "")</f>
        <v>Go/no-go checklist completed before each migration wave is authorised to proceed.</v>
      </c>
      <c r="K27" s="1">
        <f>IFERROR(IF(16 &gt; ResultCount, "", MATCH(LARGE(tblDocuments[Sort Key], 16), tblDocuments[Sort Key], 0)), "")</f>
        <v>16</v>
      </c>
    </row>
    <row r="28" spans="2:11" ht="30" customHeight="1" x14ac:dyDescent="0.25">
      <c r="B28" s="7" t="str">
        <f>IFERROR(IF(INDEX(Calc!$M$2:$M$501, 17) = "", "", INDEX(Calc!$M$2:$M$501, 17)), "")</f>
        <v/>
      </c>
      <c r="C28" s="8" t="str">
        <f>IF($B28 = "", "", IF($B28 = "All", VisibleDocs, IFERROR(SUMPRODUCT(--(tblDocuments[Scope Group] = $B28) * tblDocuments[Visible]), 0)))</f>
        <v/>
      </c>
      <c r="E28" s="9" t="str">
        <f>IFERROR(IF($K28 = "", "", IF(INDEX(tblDocuments[Link Out], $K28) = "", INDEX(tblDocuments[Display Name], $K28), HYPERLINK(INDEX(tblDocuments[Link Out], $K28), INDEX(tblDocuments[Display Name], $K28)))), "")</f>
        <v>Migration Wave Plan and Schedule</v>
      </c>
      <c r="F28" s="7" t="str">
        <f>IFERROR(IF($K28 = "", "", IF(TRIM(INDEX(tblDocuments[Document Type], $K28) &amp; "") = "", "—", TRIM(INDEX(tblDocuments[Document Type], $K28) &amp; ""))), "")</f>
        <v>Plan</v>
      </c>
      <c r="G28" s="7" t="str">
        <f>IFERROR(IF($K28 = "", "", INDEX(tblDocuments[Scope Group], $K28)), "")</f>
        <v>Migration</v>
      </c>
      <c r="H28" s="10" t="str">
        <f>IFERROR(IF($K28 = "", "", IF(TRIM(INDEX(tblDocuments[Description], $K28) &amp; "") = "", "—", IF(LEN(TRIM(INDEX(tblDocuments[Description], $K28) &amp; "")) &gt; 165, LEFT(TRIM(INDEX(tblDocuments[Description], $K28) &amp; ""), 164) &amp; "…", TRIM(INDEX(tblDocuments[Description], $K28) &amp; "")))), "")</f>
        <v>Master wave plan listing application groupings, target dates, owners and dependencies for all migration waves.</v>
      </c>
      <c r="K28" s="1">
        <f>IFERROR(IF(17 &gt; ResultCount, "", MATCH(LARGE(tblDocuments[Sort Key], 17), tblDocuments[Sort Key], 0)), "")</f>
        <v>17</v>
      </c>
    </row>
    <row r="29" spans="2:11" ht="30" customHeight="1" x14ac:dyDescent="0.25">
      <c r="B29" s="7" t="str">
        <f>IFERROR(IF(INDEX(Calc!$M$2:$M$501, 18) = "", "", INDEX(Calc!$M$2:$M$501, 18)), "")</f>
        <v/>
      </c>
      <c r="C29" s="8" t="str">
        <f>IF($B29 = "", "", IF($B29 = "All", VisibleDocs, IFERROR(SUMPRODUCT(--(tblDocuments[Scope Group] = $B29) * tblDocuments[Visible]), 0)))</f>
        <v/>
      </c>
      <c r="E29" s="9" t="str">
        <f>IFERROR(IF($K29 = "", "", IF(INDEX(tblDocuments[Link Out], $K29) = "", INDEX(tblDocuments[Display Name], $K29), HYPERLINK(INDEX(tblDocuments[Link Out], $K29), INDEX(tblDocuments[Display Name], $K29)))), "")</f>
        <v>Azure Migrate Discovery Report</v>
      </c>
      <c r="F29" s="7" t="str">
        <f>IFERROR(IF($K29 = "", "", IF(TRIM(INDEX(tblDocuments[Document Type], $K29) &amp; "") = "", "—", TRIM(INDEX(tblDocuments[Document Type], $K29) &amp; ""))), "")</f>
        <v>Assessment</v>
      </c>
      <c r="G29" s="7" t="str">
        <f>IFERROR(IF($K29 = "", "", INDEX(tblDocuments[Scope Group], $K29)), "")</f>
        <v>Migration</v>
      </c>
      <c r="H29" s="10" t="str">
        <f>IFERROR(IF($K29 = "", "", IF(TRIM(INDEX(tblDocuments[Description], $K29) &amp; "") = "", "—", IF(LEN(TRIM(INDEX(tblDocuments[Description], $K29) &amp; "")) &gt; 165, LEFT(TRIM(INDEX(tblDocuments[Description], $K29) &amp; ""), 164) &amp; "…", TRIM(INDEX(tblDocuments[Description], $K29) &amp; "")))), "")</f>
        <v>Discovery and dependency mapping output from Azure Migrate for the in-scope on-premises estate.</v>
      </c>
      <c r="K29" s="1">
        <f>IFERROR(IF(18 &gt; ResultCount, "", MATCH(LARGE(tblDocuments[Sort Key], 18), tblDocuments[Sort Key], 0)), "")</f>
        <v>18</v>
      </c>
    </row>
    <row r="30" spans="2:11" ht="30" customHeight="1" x14ac:dyDescent="0.25">
      <c r="B30" s="7" t="str">
        <f>IFERROR(IF(INDEX(Calc!$M$2:$M$501, 19) = "", "", INDEX(Calc!$M$2:$M$501, 19)), "")</f>
        <v/>
      </c>
      <c r="C30" s="8" t="str">
        <f>IF($B30 = "", "", IF($B30 = "All", VisibleDocs, IFERROR(SUMPRODUCT(--(tblDocuments[Scope Group] = $B30) * tblDocuments[Visible]), 0)))</f>
        <v/>
      </c>
      <c r="E30" s="9" t="str">
        <f>IFERROR(IF($K30 = "", "", IF(INDEX(tblDocuments[Link Out], $K30) = "", INDEX(tblDocuments[Display Name], $K30), HYPERLINK(INDEX(tblDocuments[Link Out], $K30), INDEX(tblDocuments[Display Name], $K30)))), "")</f>
        <v>Application Cutover Runbook Template</v>
      </c>
      <c r="F30" s="7" t="str">
        <f>IFERROR(IF($K30 = "", "", IF(TRIM(INDEX(tblDocuments[Document Type], $K30) &amp; "") = "", "—", TRIM(INDEX(tblDocuments[Document Type], $K30) &amp; ""))), "")</f>
        <v>Runbook</v>
      </c>
      <c r="G30" s="7" t="str">
        <f>IFERROR(IF($K30 = "", "", INDEX(tblDocuments[Scope Group], $K30)), "")</f>
        <v>Migration</v>
      </c>
      <c r="H30" s="10" t="str">
        <f>IFERROR(IF($K30 = "", "", IF(TRIM(INDEX(tblDocuments[Description], $K30) &amp; "") = "", "—", IF(LEN(TRIM(INDEX(tblDocuments[Description], $K30) &amp; "")) &gt; 165, LEFT(TRIM(INDEX(tblDocuments[Description], $K30) &amp; ""), 164) &amp; "…", TRIM(INDEX(tblDocuments[Description], $K30) &amp; "")))), "")</f>
        <v>Reusable cutover runbook template covering freeze, migrate, validate, smoke test and rollback steps.</v>
      </c>
      <c r="K30" s="1">
        <f>IFERROR(IF(19 &gt; ResultCount, "", MATCH(LARGE(tblDocuments[Sort Key], 19), tblDocuments[Sort Key], 0)), "")</f>
        <v>19</v>
      </c>
    </row>
    <row r="31" spans="2:11" ht="30" customHeight="1" x14ac:dyDescent="0.25">
      <c r="B31" s="7" t="str">
        <f>IFERROR(IF(INDEX(Calc!$M$2:$M$501, 20) = "", "", INDEX(Calc!$M$2:$M$501, 20)), "")</f>
        <v/>
      </c>
      <c r="C31" s="8" t="str">
        <f>IF($B31 = "", "", IF($B31 = "All", VisibleDocs, IFERROR(SUMPRODUCT(--(tblDocuments[Scope Group] = $B31) * tblDocuments[Visible]), 0)))</f>
        <v/>
      </c>
      <c r="E31" s="9" t="str">
        <f>IFERROR(IF($K31 = "", "", IF(INDEX(tblDocuments[Link Out], $K31) = "", INDEX(tblDocuments[Display Name], $K31), HYPERLINK(INDEX(tblDocuments[Link Out], $K31), INDEX(tblDocuments[Display Name], $K31)))), "")</f>
        <v>Rollback Procedure for Failed Migrations</v>
      </c>
      <c r="F31" s="7" t="str">
        <f>IFERROR(IF($K31 = "", "", IF(TRIM(INDEX(tblDocuments[Document Type], $K31) &amp; "") = "", "—", TRIM(INDEX(tblDocuments[Document Type], $K31) &amp; ""))), "")</f>
        <v>SOP</v>
      </c>
      <c r="G31" s="7" t="str">
        <f>IFERROR(IF($K31 = "", "", INDEX(tblDocuments[Scope Group], $K31)), "")</f>
        <v>Migration</v>
      </c>
      <c r="H31" s="10" t="str">
        <f>IFERROR(IF($K31 = "", "", IF(TRIM(INDEX(tblDocuments[Description], $K31) &amp; "") = "", "—", IF(LEN(TRIM(INDEX(tblDocuments[Description], $K31) &amp; "")) &gt; 165, LEFT(TRIM(INDEX(tblDocuments[Description], $K31) &amp; ""), 164) &amp; "…", TRIM(INDEX(tblDocuments[Description], $K31) &amp; "")))), "")</f>
        <v>Standard operating procedure for rolling a workload back to the source vSphere estate after a failed migration.</v>
      </c>
      <c r="K31" s="1">
        <f>IFERROR(IF(20 &gt; ResultCount, "", MATCH(LARGE(tblDocuments[Sort Key], 20), tblDocuments[Sort Key], 0)), "")</f>
        <v>20</v>
      </c>
    </row>
    <row r="32" spans="2:11" ht="30" customHeight="1" x14ac:dyDescent="0.25">
      <c r="B32" s="7" t="str">
        <f>IFERROR(IF(INDEX(Calc!$M$2:$M$501, 21) = "", "", INDEX(Calc!$M$2:$M$501, 21)), "")</f>
        <v/>
      </c>
      <c r="C32" s="8" t="str">
        <f>IF($B32 = "", "", IF($B32 = "All", VisibleDocs, IFERROR(SUMPRODUCT(--(tblDocuments[Scope Group] = $B32) * tblDocuments[Visible]), 0)))</f>
        <v/>
      </c>
      <c r="E32" s="9" t="str">
        <f>IFERROR(IF($K32 = "", "", IF(INDEX(tblDocuments[Link Out], $K32) = "", INDEX(tblDocuments[Display Name], $K32), HYPERLINK(INDEX(tblDocuments[Link Out], $K32), INDEX(tblDocuments[Display Name], $K32)))), "")</f>
        <v>Cold Migration and OVF Import Guide</v>
      </c>
      <c r="F32" s="7" t="str">
        <f>IFERROR(IF($K32 = "", "", IF(TRIM(INDEX(tblDocuments[Document Type], $K32) &amp; "") = "", "—", TRIM(INDEX(tblDocuments[Document Type], $K32) &amp; ""))), "")</f>
        <v>Guide</v>
      </c>
      <c r="G32" s="7" t="str">
        <f>IFERROR(IF($K32 = "", "", INDEX(tblDocuments[Scope Group], $K32)), "")</f>
        <v>Migration</v>
      </c>
      <c r="H32" s="10" t="str">
        <f>IFERROR(IF($K32 = "", "", IF(TRIM(INDEX(tblDocuments[Description], $K32) &amp; "") = "", "—", IF(LEN(TRIM(INDEX(tblDocuments[Description], $K32) &amp; "")) &gt; 165, LEFT(TRIM(INDEX(tblDocuments[Description], $K32) &amp; ""), 164) &amp; "…", TRIM(INDEX(tblDocuments[Description], $K32) &amp; "")))), "")</f>
        <v>Guide for migrating powered-off workloads and appliance imports using cold migration and OVF/OVA import.</v>
      </c>
      <c r="K32" s="1">
        <f>IFERROR(IF(21 &gt; ResultCount, "", MATCH(LARGE(tblDocuments[Sort Key], 21), tblDocuments[Sort Key], 0)), "")</f>
        <v>21</v>
      </c>
    </row>
    <row r="33" spans="2:11" ht="30" customHeight="1" x14ac:dyDescent="0.25">
      <c r="B33" s="7" t="str">
        <f>IFERROR(IF(INDEX(Calc!$M$2:$M$501, 22) = "", "", INDEX(Calc!$M$2:$M$501, 22)), "")</f>
        <v/>
      </c>
      <c r="C33" s="8" t="str">
        <f>IF($B33 = "", "", IF($B33 = "All", VisibleDocs, IFERROR(SUMPRODUCT(--(tblDocuments[Scope Group] = $B33) * tblDocuments[Visible]), 0)))</f>
        <v/>
      </c>
      <c r="E33" s="9" t="str">
        <f>IFERROR(IF($K33 = "", "", IF(INDEX(tblDocuments[Link Out], $K33) = "", INDEX(tblDocuments[Display Name], $K33), HYPERLINK(INDEX(tblDocuments[Link Out], $K33), INDEX(tblDocuments[Display Name], $K33)))), "")</f>
        <v>Migration Wave 3 Closure Report</v>
      </c>
      <c r="F33" s="7" t="str">
        <f>IFERROR(IF($K33 = "", "", IF(TRIM(INDEX(tblDocuments[Document Type], $K33) &amp; "") = "", "—", TRIM(INDEX(tblDocuments[Document Type], $K33) &amp; ""))), "")</f>
        <v>Report</v>
      </c>
      <c r="G33" s="7" t="str">
        <f>IFERROR(IF($K33 = "", "", INDEX(tblDocuments[Scope Group], $K33)), "")</f>
        <v>Migration</v>
      </c>
      <c r="H33" s="10" t="str">
        <f>IFERROR(IF($K33 = "", "", IF(TRIM(INDEX(tblDocuments[Description], $K33) &amp; "") = "", "—", IF(LEN(TRIM(INDEX(tblDocuments[Description], $K33) &amp; "")) &gt; 165, LEFT(TRIM(INDEX(tblDocuments[Description], $K33) &amp; ""), 164) &amp; "…", TRIM(INDEX(tblDocuments[Description], $K33) &amp; "")))), "")</f>
        <v>Closure report for wave 3 including migrated workload counts, defects raised and lessons learned.</v>
      </c>
      <c r="K33" s="1">
        <f>IFERROR(IF(22 &gt; ResultCount, "", MATCH(LARGE(tblDocuments[Sort Key], 22), tblDocuments[Sort Key], 0)), "")</f>
        <v>22</v>
      </c>
    </row>
    <row r="34" spans="2:11" ht="30" customHeight="1" x14ac:dyDescent="0.25">
      <c r="B34" s="7" t="str">
        <f>IFERROR(IF(INDEX(Calc!$M$2:$M$501, 23) = "", "", INDEX(Calc!$M$2:$M$501, 23)), "")</f>
        <v/>
      </c>
      <c r="C34" s="8" t="str">
        <f>IF($B34 = "", "", IF($B34 = "All", VisibleDocs, IFERROR(SUMPRODUCT(--(tblDocuments[Scope Group] = $B34) * tblDocuments[Visible]), 0)))</f>
        <v/>
      </c>
      <c r="E34" s="9" t="str">
        <f>IFERROR(IF($K34 = "", "", IF(INDEX(tblDocuments[Link Out], $K34) = "", INDEX(tblDocuments[Display Name], $K34), HYPERLINK(INDEX(tblDocuments[Link Out], $K34), INDEX(tblDocuments[Display Name], $K34)))), "")</f>
        <v>Migration FAQ for Application Owners</v>
      </c>
      <c r="F34" s="7" t="str">
        <f>IFERROR(IF($K34 = "", "", IF(TRIM(INDEX(tblDocuments[Document Type], $K34) &amp; "") = "", "—", TRIM(INDEX(tblDocuments[Document Type], $K34) &amp; ""))), "")</f>
        <v>FAQ</v>
      </c>
      <c r="G34" s="7" t="str">
        <f>IFERROR(IF($K34 = "", "", INDEX(tblDocuments[Scope Group], $K34)), "")</f>
        <v>Migration</v>
      </c>
      <c r="H34" s="10" t="str">
        <f>IFERROR(IF($K34 = "", "", IF(TRIM(INDEX(tblDocuments[Description], $K34) &amp; "") = "", "—", IF(LEN(TRIM(INDEX(tblDocuments[Description], $K34) &amp; "")) &gt; 165, LEFT(TRIM(INDEX(tblDocuments[Description], $K34) &amp; ""), 164) &amp; "…", TRIM(INDEX(tblDocuments[Description], $K34) &amp; "")))), "")</f>
        <v>Frequently asked questions aimed at application owners preparing their workloads for migration to AVS.</v>
      </c>
      <c r="K34" s="1">
        <f>IFERROR(IF(23 &gt; ResultCount, "", MATCH(LARGE(tblDocuments[Sort Key], 23), tblDocuments[Sort Key], 0)), "")</f>
        <v>23</v>
      </c>
    </row>
    <row r="35" spans="2:11" ht="30" customHeight="1" x14ac:dyDescent="0.25">
      <c r="B35" s="7" t="str">
        <f>IFERROR(IF(INDEX(Calc!$M$2:$M$501, 24) = "", "", INDEX(Calc!$M$2:$M$501, 24)), "")</f>
        <v/>
      </c>
      <c r="C35" s="8" t="str">
        <f>IF($B35 = "", "", IF($B35 = "All", VisibleDocs, IFERROR(SUMPRODUCT(--(tblDocuments[Scope Group] = $B35) * tblDocuments[Visible]), 0)))</f>
        <v/>
      </c>
      <c r="E35" s="9" t="str">
        <f>IFERROR(IF($K35 = "", "", IF(INDEX(tblDocuments[Link Out], $K35) = "", INDEX(tblDocuments[Display Name], $K35), HYPERLINK(INDEX(tblDocuments[Link Out], $K35), INDEX(tblDocuments[Display Name], $K35)))), "")</f>
        <v>Physical to Virtual Server Conversion Guide</v>
      </c>
      <c r="F35" s="7" t="str">
        <f>IFERROR(IF($K35 = "", "", IF(TRIM(INDEX(tblDocuments[Document Type], $K35) &amp; "") = "", "—", TRIM(INDEX(tblDocuments[Document Type], $K35) &amp; ""))), "")</f>
        <v>Guide</v>
      </c>
      <c r="G35" s="7" t="str">
        <f>IFERROR(IF($K35 = "", "", INDEX(tblDocuments[Scope Group], $K35)), "")</f>
        <v>Migration</v>
      </c>
      <c r="H35" s="10" t="str">
        <f>IFERROR(IF($K35 = "", "", IF(TRIM(INDEX(tblDocuments[Description], $K35) &amp; "") = "", "—", IF(LEN(TRIM(INDEX(tblDocuments[Description], $K35) &amp; "")) &gt; 165, LEFT(TRIM(INDEX(tblDocuments[Description], $K35) &amp; ""), 164) &amp; "…", TRIM(INDEX(tblDocuments[Description], $K35) &amp; "")))), "")</f>
        <v>Guide for converting remaining physical servers into virtual machines prior to migration into AVS.</v>
      </c>
      <c r="K35" s="1">
        <f>IFERROR(IF(24 &gt; ResultCount, "", MATCH(LARGE(tblDocuments[Sort Key], 24), tblDocuments[Sort Key], 0)), "")</f>
        <v>24</v>
      </c>
    </row>
    <row r="36" spans="2:11" ht="30" customHeight="1" x14ac:dyDescent="0.25">
      <c r="E36" s="9" t="str">
        <f>IFERROR(IF($K36 = "", "", IF(INDEX(tblDocuments[Link Out], $K36) = "", INDEX(tblDocuments[Display Name], $K36), HYPERLINK(INDEX(tblDocuments[Link Out], $K36), INDEX(tblDocuments[Display Name], $K36)))), "")</f>
        <v>Post Migration Validation Checklist</v>
      </c>
      <c r="F36" s="7" t="str">
        <f>IFERROR(IF($K36 = "", "", IF(TRIM(INDEX(tblDocuments[Document Type], $K36) &amp; "") = "", "—", TRIM(INDEX(tblDocuments[Document Type], $K36) &amp; ""))), "")</f>
        <v>Checklist</v>
      </c>
      <c r="G36" s="7" t="str">
        <f>IFERROR(IF($K36 = "", "", INDEX(tblDocuments[Scope Group], $K36)), "")</f>
        <v>Migration</v>
      </c>
      <c r="H36" s="10" t="str">
        <f>IFERROR(IF($K36 = "", "", IF(TRIM(INDEX(tblDocuments[Description], $K36) &amp; "") = "", "—", IF(LEN(TRIM(INDEX(tblDocuments[Description], $K36) &amp; "")) &gt; 165, LEFT(TRIM(INDEX(tblDocuments[Description], $K36) &amp; ""), 164) &amp; "…", TRIM(INDEX(tblDocuments[Description], $K36) &amp; "")))), "")</f>
        <v>Validation checklist executed after each workload lands in AVS covering tools, backup, monitoring and performance.</v>
      </c>
      <c r="K36" s="1">
        <f>IFERROR(IF(25 &gt; ResultCount, "", MATCH(LARGE(tblDocuments[Sort Key], 25), tblDocuments[Sort Key], 0)), "")</f>
        <v>25</v>
      </c>
    </row>
    <row r="37" spans="2:11" ht="30" customHeight="1" x14ac:dyDescent="0.25">
      <c r="B37" s="33" t="s">
        <v>12</v>
      </c>
      <c r="C37" s="33"/>
      <c r="E37" s="9" t="str">
        <f>IFERROR(IF($K37 = "", "", IF(INDEX(tblDocuments[Link Out], $K37) = "", INDEX(tblDocuments[Display Name], $K37), HYPERLINK(INDEX(tblDocuments[Link Out], $K37), INDEX(tblDocuments[Display Name], $K37)))), "")</f>
        <v>NSX-T Network Low Level Design</v>
      </c>
      <c r="F37" s="7" t="str">
        <f>IFERROR(IF($K37 = "", "", IF(TRIM(INDEX(tblDocuments[Document Type], $K37) &amp; "") = "", "—", TRIM(INDEX(tblDocuments[Document Type], $K37) &amp; ""))), "")</f>
        <v>LLD</v>
      </c>
      <c r="G37" s="7" t="str">
        <f>IFERROR(IF($K37 = "", "", INDEX(tblDocuments[Scope Group], $K37)), "")</f>
        <v>Network</v>
      </c>
      <c r="H37" s="10" t="str">
        <f>IFERROR(IF($K37 = "", "", IF(TRIM(INDEX(tblDocuments[Description], $K37) &amp; "") = "", "—", IF(LEN(TRIM(INDEX(tblDocuments[Description], $K37) &amp; "")) &gt; 165, LEFT(TRIM(INDEX(tblDocuments[Description], $K37) &amp; ""), 164) &amp; "…", TRIM(INDEX(tblDocuments[Description], $K37) &amp; "")))), "")</f>
        <v>Low level design for the NSX-T overlay including tier-0 and tier-1 gateway configuration, segments and routing policy.</v>
      </c>
      <c r="K37" s="1">
        <f>IFERROR(IF(26 &gt; ResultCount, "", MATCH(LARGE(tblDocuments[Sort Key], 26), tblDocuments[Sort Key], 0)), "")</f>
        <v>26</v>
      </c>
    </row>
    <row r="38" spans="2:11" ht="30" customHeight="1" x14ac:dyDescent="0.25">
      <c r="B38" s="33"/>
      <c r="C38" s="33"/>
      <c r="E38" s="9" t="str">
        <f>IFERROR(IF($K38 = "", "", IF(INDEX(tblDocuments[Link Out], $K38) = "", INDEX(tblDocuments[Display Name], $K38), HYPERLINK(INDEX(tblDocuments[Link Out], $K38), INDEX(tblDocuments[Display Name], $K38)))), "")</f>
        <v>NSX-T Segment Provisioning Guide</v>
      </c>
      <c r="F38" s="7" t="str">
        <f>IFERROR(IF($K38 = "", "", IF(TRIM(INDEX(tblDocuments[Document Type], $K38) &amp; "") = "", "—", TRIM(INDEX(tblDocuments[Document Type], $K38) &amp; ""))), "")</f>
        <v>Guide</v>
      </c>
      <c r="G38" s="7" t="str">
        <f>IFERROR(IF($K38 = "", "", INDEX(tblDocuments[Scope Group], $K38)), "")</f>
        <v>Network</v>
      </c>
      <c r="H38" s="10" t="str">
        <f>IFERROR(IF($K38 = "", "", IF(TRIM(INDEX(tblDocuments[Description], $K38) &amp; "") = "", "—", IF(LEN(TRIM(INDEX(tblDocuments[Description], $K38) &amp; "")) &gt; 165, LEFT(TRIM(INDEX(tblDocuments[Description], $K38) &amp; ""), 164) &amp; "…", TRIM(INDEX(tblDocuments[Description], $K38) &amp; "")))), "")</f>
        <v>How to request, provision and document a new NSX-T overlay segment in the AVS private cloud.</v>
      </c>
      <c r="K38" s="1">
        <f>IFERROR(IF(27 &gt; ResultCount, "", MATCH(LARGE(tblDocuments[Sort Key], 27), tblDocuments[Sort Key], 0)), "")</f>
        <v>27</v>
      </c>
    </row>
    <row r="39" spans="2:11" ht="30" customHeight="1" x14ac:dyDescent="0.25">
      <c r="B39" s="33"/>
      <c r="C39" s="33"/>
      <c r="E39" s="9" t="str">
        <f>IFERROR(IF($K39 = "", "", IF(INDEX(tblDocuments[Link Out], $K39) = "", INDEX(tblDocuments[Display Name], $K39), HYPERLINK(INDEX(tblDocuments[Link Out], $K39), INDEX(tblDocuments[Display Name], $K39)))), "")</f>
        <v>ExpressRoute Global Reach Configuration Runbook</v>
      </c>
      <c r="F39" s="7" t="str">
        <f>IFERROR(IF($K39 = "", "", IF(TRIM(INDEX(tblDocuments[Document Type], $K39) &amp; "") = "", "—", TRIM(INDEX(tblDocuments[Document Type], $K39) &amp; ""))), "")</f>
        <v>Runbook</v>
      </c>
      <c r="G39" s="7" t="str">
        <f>IFERROR(IF($K39 = "", "", INDEX(tblDocuments[Scope Group], $K39)), "")</f>
        <v>Network</v>
      </c>
      <c r="H39" s="10" t="str">
        <f>IFERROR(IF($K39 = "", "", IF(TRIM(INDEX(tblDocuments[Description], $K39) &amp; "") = "", "—", IF(LEN(TRIM(INDEX(tblDocuments[Description], $K39) &amp; "")) &gt; 165, LEFT(TRIM(INDEX(tblDocuments[Description], $K39) &amp; ""), 164) &amp; "…", TRIM(INDEX(tblDocuments[Description], $K39) &amp; "")))), "")</f>
        <v>Runbook for establishing and validating ExpressRoute Global Reach peering between on-premises circuits and AVS.</v>
      </c>
      <c r="K39" s="1">
        <f>IFERROR(IF(28 &gt; ResultCount, "", MATCH(LARGE(tblDocuments[Sort Key], 28), tblDocuments[Sort Key], 0)), "")</f>
        <v>28</v>
      </c>
    </row>
    <row r="40" spans="2:11" ht="30" customHeight="1" x14ac:dyDescent="0.25">
      <c r="B40" s="33"/>
      <c r="C40" s="33"/>
      <c r="E40" s="9" t="str">
        <f>IFERROR(IF($K40 = "", "", IF(INDEX(tblDocuments[Link Out], $K40) = "", INDEX(tblDocuments[Display Name], $K40), HYPERLINK(INDEX(tblDocuments[Link Out], $K40), INDEX(tblDocuments[Display Name], $K40)))), "")</f>
        <v>AVS Network Architecture and Traffic Flows</v>
      </c>
      <c r="F40" s="7" t="str">
        <f>IFERROR(IF($K40 = "", "", IF(TRIM(INDEX(tblDocuments[Document Type], $K40) &amp; "") = "", "—", TRIM(INDEX(tblDocuments[Document Type], $K40) &amp; ""))), "")</f>
        <v>Architecture</v>
      </c>
      <c r="G40" s="7" t="str">
        <f>IFERROR(IF($K40 = "", "", INDEX(tblDocuments[Scope Group], $K40)), "")</f>
        <v>Network</v>
      </c>
      <c r="H40" s="10" t="str">
        <f>IFERROR(IF($K40 = "", "", IF(TRIM(INDEX(tblDocuments[Description], $K40) &amp; "") = "", "—", IF(LEN(TRIM(INDEX(tblDocuments[Description], $K40) &amp; "")) &gt; 165, LEFT(TRIM(INDEX(tblDocuments[Description], $K40) &amp; ""), 164) &amp; "…", TRIM(INDEX(tblDocuments[Description], $K40) &amp; "")))), "")</f>
        <v>Network architecture describing north-south and east-west traffic flows, inspection points and internet egress options.</v>
      </c>
      <c r="K40" s="1">
        <f>IFERROR(IF(29 &gt; ResultCount, "", MATCH(LARGE(tblDocuments[Sort Key], 29), tblDocuments[Sort Key], 0)), "")</f>
        <v>29</v>
      </c>
    </row>
    <row r="41" spans="2:11" ht="30" customHeight="1" x14ac:dyDescent="0.25">
      <c r="B41" s="33"/>
      <c r="C41" s="33"/>
      <c r="E41" s="9" t="str">
        <f>IFERROR(IF($K41 = "", "", IF(INDEX(tblDocuments[Link Out], $K41) = "", INDEX(tblDocuments[Display Name], $K41), HYPERLINK(INDEX(tblDocuments[Link Out], $K41), INDEX(tblDocuments[Display Name], $K41)))), "")</f>
        <v>Internet Egress Options for AVS</v>
      </c>
      <c r="F41" s="7" t="str">
        <f>IFERROR(IF($K41 = "", "", IF(TRIM(INDEX(tblDocuments[Document Type], $K41) &amp; "") = "", "—", TRIM(INDEX(tblDocuments[Document Type], $K41) &amp; ""))), "")</f>
        <v>Guide</v>
      </c>
      <c r="G41" s="7" t="str">
        <f>IFERROR(IF($K41 = "", "", INDEX(tblDocuments[Scope Group], $K41)), "")</f>
        <v>Network</v>
      </c>
      <c r="H41" s="10" t="str">
        <f>IFERROR(IF($K41 = "", "", IF(TRIM(INDEX(tblDocuments[Description], $K41) &amp; "") = "", "—", IF(LEN(TRIM(INDEX(tblDocuments[Description], $K41) &amp; "")) &gt; 165, LEFT(TRIM(INDEX(tblDocuments[Description], $K41) &amp; ""), 164) &amp; "…", TRIM(INDEX(tblDocuments[Description], $K41) &amp; "")))), "")</f>
        <v>Comparison of managed SNAT, public IP down to NSX-T edge, and Azure Firewall egress designs with recommendations.</v>
      </c>
      <c r="K41" s="1">
        <f>IFERROR(IF(30 &gt; ResultCount, "", MATCH(LARGE(tblDocuments[Sort Key], 30), tblDocuments[Sort Key], 0)), "")</f>
        <v>30</v>
      </c>
    </row>
    <row r="42" spans="2:11" ht="30" customHeight="1" x14ac:dyDescent="0.25">
      <c r="B42" s="33"/>
      <c r="C42" s="33"/>
      <c r="E42" s="9" t="str">
        <f>IFERROR(IF($K42 = "", "", IF(INDEX(tblDocuments[Link Out], $K42) = "", INDEX(tblDocuments[Display Name], $K42), HYPERLINK(INDEX(tblDocuments[Link Out], $K42), INDEX(tblDocuments[Display Name], $K42)))), "")</f>
        <v>NSX-T Distributed Firewall Rule Design</v>
      </c>
      <c r="F42" s="7" t="str">
        <f>IFERROR(IF($K42 = "", "", IF(TRIM(INDEX(tblDocuments[Document Type], $K42) &amp; "") = "", "—", TRIM(INDEX(tblDocuments[Document Type], $K42) &amp; ""))), "")</f>
        <v>LLD</v>
      </c>
      <c r="G42" s="7" t="str">
        <f>IFERROR(IF($K42 = "", "", INDEX(tblDocuments[Scope Group], $K42)), "")</f>
        <v>Network</v>
      </c>
      <c r="H42" s="10" t="str">
        <f>IFERROR(IF($K42 = "", "", IF(TRIM(INDEX(tblDocuments[Description], $K42) &amp; "") = "", "—", IF(LEN(TRIM(INDEX(tblDocuments[Description], $K42) &amp; "")) &gt; 165, LEFT(TRIM(INDEX(tblDocuments[Description], $K42) &amp; ""), 164) &amp; "…", TRIM(INDEX(tblDocuments[Description], $K42) &amp; "")))), "")</f>
        <v>Design of the distributed firewall rule model, security groups, tagging strategy and default deny posture.</v>
      </c>
      <c r="K42" s="1">
        <f>IFERROR(IF(31 &gt; ResultCount, "", MATCH(LARGE(tblDocuments[Sort Key], 31), tblDocuments[Sort Key], 0)), "")</f>
        <v>31</v>
      </c>
    </row>
    <row r="43" spans="2:11" ht="30" customHeight="1" x14ac:dyDescent="0.25">
      <c r="B43" s="33"/>
      <c r="C43" s="33"/>
      <c r="E43" s="9" t="str">
        <f>IFERROR(IF($K43 = "", "", IF(INDEX(tblDocuments[Link Out], $K43) = "", INDEX(tblDocuments[Display Name], $K43), HYPERLINK(INDEX(tblDocuments[Link Out], $K43), INDEX(tblDocuments[Display Name], $K43)))), "")</f>
        <v>NSX-T Load Balancer Configuration Runbook</v>
      </c>
      <c r="F43" s="7" t="str">
        <f>IFERROR(IF($K43 = "", "", IF(TRIM(INDEX(tblDocuments[Document Type], $K43) &amp; "") = "", "—", TRIM(INDEX(tblDocuments[Document Type], $K43) &amp; ""))), "")</f>
        <v>Runbook</v>
      </c>
      <c r="G43" s="7" t="str">
        <f>IFERROR(IF($K43 = "", "", INDEX(tblDocuments[Scope Group], $K43)), "")</f>
        <v>Network</v>
      </c>
      <c r="H43" s="10" t="str">
        <f>IFERROR(IF($K43 = "", "", IF(TRIM(INDEX(tblDocuments[Description], $K43) &amp; "") = "", "—", IF(LEN(TRIM(INDEX(tblDocuments[Description], $K43) &amp; "")) &gt; 165, LEFT(TRIM(INDEX(tblDocuments[Description], $K43) &amp; ""), 164) &amp; "…", TRIM(INDEX(tblDocuments[Description], $K43) &amp; "")))), "")</f>
        <v>Configuring NSX-T virtual servers, server pools, monitors and persistence profiles for application load balancing.</v>
      </c>
      <c r="K43" s="1">
        <f>IFERROR(IF(32 &gt; ResultCount, "", MATCH(LARGE(tblDocuments[Sort Key], 32), tblDocuments[Sort Key], 0)), "")</f>
        <v>32</v>
      </c>
    </row>
    <row r="44" spans="2:11" ht="30" customHeight="1" x14ac:dyDescent="0.25">
      <c r="B44" s="33"/>
      <c r="C44" s="33"/>
      <c r="E44" s="9" t="str">
        <f>IFERROR(IF($K44 = "", "", IF(INDEX(tblDocuments[Link Out], $K44) = "", INDEX(tblDocuments[Display Name], $K44), HYPERLINK(INDEX(tblDocuments[Link Out], $K44), INDEX(tblDocuments[Display Name], $K44)))), "")</f>
        <v>DNS Forwarder Configuration Standard</v>
      </c>
      <c r="F44" s="7" t="str">
        <f>IFERROR(IF($K44 = "", "", IF(TRIM(INDEX(tblDocuments[Document Type], $K44) &amp; "") = "", "—", TRIM(INDEX(tblDocuments[Document Type], $K44) &amp; ""))), "")</f>
        <v>SOP</v>
      </c>
      <c r="G44" s="7" t="str">
        <f>IFERROR(IF($K44 = "", "", INDEX(tblDocuments[Scope Group], $K44)), "")</f>
        <v>Network</v>
      </c>
      <c r="H44" s="10" t="str">
        <f>IFERROR(IF($K44 = "", "", IF(TRIM(INDEX(tblDocuments[Description], $K44) &amp; "") = "", "—", IF(LEN(TRIM(INDEX(tblDocuments[Description], $K44) &amp; "")) &gt; 165, LEFT(TRIM(INDEX(tblDocuments[Description], $K44) &amp; ""), 164) &amp; "…", TRIM(INDEX(tblDocuments[Description], $K44) &amp; "")))), "")</f>
        <v>Standard for configuring the NSX-T DNS forwarder and conditional forwarding to corporate DNS zones.</v>
      </c>
      <c r="K44" s="1">
        <f>IFERROR(IF(33 &gt; ResultCount, "", MATCH(LARGE(tblDocuments[Sort Key], 33), tblDocuments[Sort Key], 0)), "")</f>
        <v>33</v>
      </c>
    </row>
    <row r="45" spans="2:11" ht="30" customHeight="1" x14ac:dyDescent="0.25">
      <c r="B45" s="33"/>
      <c r="C45" s="33"/>
      <c r="E45" s="9" t="str">
        <f>IFERROR(IF($K45 = "", "", IF(INDEX(tblDocuments[Link Out], $K45) = "", INDEX(tblDocuments[Display Name], $K45), HYPERLINK(INDEX(tblDocuments[Link Out], $K45), INDEX(tblDocuments[Display Name], $K45)))), "")</f>
        <v>AVS Connectivity Diagram Pack</v>
      </c>
      <c r="F45" s="7" t="str">
        <f>IFERROR(IF($K45 = "", "", IF(TRIM(INDEX(tblDocuments[Document Type], $K45) &amp; "") = "", "—", TRIM(INDEX(tblDocuments[Document Type], $K45) &amp; ""))), "")</f>
        <v>Diagram</v>
      </c>
      <c r="G45" s="7" t="str">
        <f>IFERROR(IF($K45 = "", "", INDEX(tblDocuments[Scope Group], $K45)), "")</f>
        <v>Network</v>
      </c>
      <c r="H45" s="10" t="str">
        <f>IFERROR(IF($K45 = "", "", IF(TRIM(INDEX(tblDocuments[Description], $K45) &amp; "") = "", "—", IF(LEN(TRIM(INDEX(tblDocuments[Description], $K45) &amp; "")) &gt; 165, LEFT(TRIM(INDEX(tblDocuments[Description], $K45) &amp; ""), 164) &amp; "…", TRIM(INDEX(tblDocuments[Description], $K45) &amp; "")))), "")</f>
        <v>Diagram pack covering physical circuits, logical routing and the full AVS connectivity topology.</v>
      </c>
      <c r="K45" s="1">
        <f>IFERROR(IF(34 &gt; ResultCount, "", MATCH(LARGE(tblDocuments[Sort Key], 34), tblDocuments[Sort Key], 0)), "")</f>
        <v>34</v>
      </c>
    </row>
    <row r="46" spans="2:11" ht="30" customHeight="1" x14ac:dyDescent="0.25">
      <c r="B46" s="33"/>
      <c r="C46" s="33"/>
      <c r="E46" s="9" t="str">
        <f>IFERROR(IF($K46 = "", "", IF(INDEX(tblDocuments[Link Out], $K46) = "", INDEX(tblDocuments[Display Name], $K46), HYPERLINK(INDEX(tblDocuments[Link Out], $K46), INDEX(tblDocuments[Display Name], $K46)))), "")</f>
        <v>Route Advertisement and BGP Troubleshooting</v>
      </c>
      <c r="F46" s="7" t="str">
        <f>IFERROR(IF($K46 = "", "", IF(TRIM(INDEX(tblDocuments[Document Type], $K46) &amp; "") = "", "—", TRIM(INDEX(tblDocuments[Document Type], $K46) &amp; ""))), "")</f>
        <v>Guide</v>
      </c>
      <c r="G46" s="7" t="str">
        <f>IFERROR(IF($K46 = "", "", INDEX(tblDocuments[Scope Group], $K46)), "")</f>
        <v>Network</v>
      </c>
      <c r="H46" s="10" t="str">
        <f>IFERROR(IF($K46 = "", "", IF(TRIM(INDEX(tblDocuments[Description], $K46) &amp; "") = "", "—", IF(LEN(TRIM(INDEX(tblDocuments[Description], $K46) &amp; "")) &gt; 165, LEFT(TRIM(INDEX(tblDocuments[Description], $K46) &amp; ""), 164) &amp; "…", TRIM(INDEX(tblDocuments[Description], $K46) &amp; "")))), "")</f>
        <v>Troubleshooting guide for BGP route advertisement issues between AVS, ExpressRoute and on-premises routers.</v>
      </c>
      <c r="K46" s="1">
        <f>IFERROR(IF(35 &gt; ResultCount, "", MATCH(LARGE(tblDocuments[Sort Key], 35), tblDocuments[Sort Key], 0)), "")</f>
        <v>35</v>
      </c>
    </row>
    <row r="47" spans="2:11" ht="30" customHeight="1" x14ac:dyDescent="0.25">
      <c r="B47" s="33"/>
      <c r="C47" s="33"/>
      <c r="E47" s="9" t="str">
        <f>IFERROR(IF($K47 = "", "", IF(INDEX(tblDocuments[Link Out], $K47) = "", INDEX(tblDocuments[Display Name], $K47), HYPERLINK(INDEX(tblDocuments[Link Out], $K47), INDEX(tblDocuments[Display Name], $K47)))), "")</f>
        <v>IP Address Management Standard</v>
      </c>
      <c r="F47" s="7" t="str">
        <f>IFERROR(IF($K47 = "", "", IF(TRIM(INDEX(tblDocuments[Document Type], $K47) &amp; "") = "", "—", TRIM(INDEX(tblDocuments[Document Type], $K47) &amp; ""))), "")</f>
        <v>Policy</v>
      </c>
      <c r="G47" s="7" t="str">
        <f>IFERROR(IF($K47 = "", "", INDEX(tblDocuments[Scope Group], $K47)), "")</f>
        <v>Network</v>
      </c>
      <c r="H47" s="10" t="str">
        <f>IFERROR(IF($K47 = "", "", IF(TRIM(INDEX(tblDocuments[Description], $K47) &amp; "") = "", "—", IF(LEN(TRIM(INDEX(tblDocuments[Description], $K47) &amp; "")) &gt; 165, LEFT(TRIM(INDEX(tblDocuments[Description], $K47) &amp; ""), 164) &amp; "…", TRIM(INDEX(tblDocuments[Description], $K47) &amp; "")))), "")</f>
        <v>IPAM standard defining CIDR allocation, reservation process and documentation requirements for AVS networks.</v>
      </c>
      <c r="K47" s="1">
        <f>IFERROR(IF(36 &gt; ResultCount, "", MATCH(LARGE(tblDocuments[Sort Key], 36), tblDocuments[Sort Key], 0)), "")</f>
        <v>36</v>
      </c>
    </row>
    <row r="48" spans="2:11" ht="30" customHeight="1" x14ac:dyDescent="0.25">
      <c r="B48" s="33"/>
      <c r="C48" s="33"/>
      <c r="E48" s="9" t="str">
        <f>IFERROR(IF($K48 = "", "", IF(INDEX(tblDocuments[Link Out], $K48) = "", INDEX(tblDocuments[Display Name], $K48), HYPERLINK(INDEX(tblDocuments[Link Out], $K48), INDEX(tblDocuments[Display Name], $K48)))), "")</f>
        <v>Network Extension Cutover Runbook</v>
      </c>
      <c r="F48" s="7" t="str">
        <f>IFERROR(IF($K48 = "", "", IF(TRIM(INDEX(tblDocuments[Document Type], $K48) &amp; "") = "", "—", TRIM(INDEX(tblDocuments[Document Type], $K48) &amp; ""))), "")</f>
        <v>Runbook</v>
      </c>
      <c r="G48" s="7" t="str">
        <f>IFERROR(IF($K48 = "", "", INDEX(tblDocuments[Scope Group], $K48)), "")</f>
        <v>Network</v>
      </c>
      <c r="H48" s="10" t="str">
        <f>IFERROR(IF($K48 = "", "", IF(TRIM(INDEX(tblDocuments[Description], $K48) &amp; "") = "", "—", IF(LEN(TRIM(INDEX(tblDocuments[Description], $K48) &amp; "")) &gt; 165, LEFT(TRIM(INDEX(tblDocuments[Description], $K48) &amp; ""), 164) &amp; "…", TRIM(INDEX(tblDocuments[Description], $K48) &amp; "")))), "")</f>
        <v>Runbook for cutting over an HCX extended network to a native NSX-T segment after workload migration completes.</v>
      </c>
      <c r="K48" s="1">
        <f>IFERROR(IF(37 &gt; ResultCount, "", MATCH(LARGE(tblDocuments[Sort Key], 37), tblDocuments[Sort Key], 0)), "")</f>
        <v>37</v>
      </c>
    </row>
    <row r="49" spans="2:11" ht="30" customHeight="1" x14ac:dyDescent="0.25">
      <c r="B49" s="33"/>
      <c r="C49" s="33"/>
      <c r="E49" s="9" t="str">
        <f>IFERROR(IF($K49 = "", "", IF(INDEX(tblDocuments[Link Out], $K49) = "", INDEX(tblDocuments[Display Name], $K49), HYPERLINK(INDEX(tblDocuments[Link Out], $K49), INDEX(tblDocuments[Display Name], $K49)))), "")</f>
        <v>Public IP and NAT Configuration Guide</v>
      </c>
      <c r="F49" s="7" t="str">
        <f>IFERROR(IF($K49 = "", "", IF(TRIM(INDEX(tblDocuments[Document Type], $K49) &amp; "") = "", "—", TRIM(INDEX(tblDocuments[Document Type], $K49) &amp; ""))), "")</f>
        <v>Guide</v>
      </c>
      <c r="G49" s="7" t="str">
        <f>IFERROR(IF($K49 = "", "", INDEX(tblDocuments[Scope Group], $K49)), "")</f>
        <v>Network</v>
      </c>
      <c r="H49" s="10" t="str">
        <f>IFERROR(IF($K49 = "", "", IF(TRIM(INDEX(tblDocuments[Description], $K49) &amp; "") = "", "—", IF(LEN(TRIM(INDEX(tblDocuments[Description], $K49) &amp; "")) &gt; 165, LEFT(TRIM(INDEX(tblDocuments[Description], $K49) &amp; ""), 164) &amp; "…", TRIM(INDEX(tblDocuments[Description], $K49) &amp; "")))), "")</f>
        <v>Guide to requesting public IP addresses and configuring DNAT/SNAT rules on the NSX-T tier-1 gateway.</v>
      </c>
      <c r="K49" s="1">
        <f>IFERROR(IF(38 &gt; ResultCount, "", MATCH(LARGE(tblDocuments[Sort Key], 38), tblDocuments[Sort Key], 0)), "")</f>
        <v>38</v>
      </c>
    </row>
    <row r="50" spans="2:11" ht="30" customHeight="1" x14ac:dyDescent="0.25">
      <c r="B50" s="33"/>
      <c r="C50" s="33"/>
      <c r="E50" s="9" t="str">
        <f>IFERROR(IF($K50 = "", "", IF(INDEX(tblDocuments[Link Out], $K50) = "", INDEX(tblDocuments[Display Name], $K50), HYPERLINK(INDEX(tblDocuments[Link Out], $K50), INDEX(tblDocuments[Display Name], $K50)))), "")</f>
        <v>Network Performance Baseline Report</v>
      </c>
      <c r="F50" s="7" t="str">
        <f>IFERROR(IF($K50 = "", "", IF(TRIM(INDEX(tblDocuments[Document Type], $K50) &amp; "") = "", "—", TRIM(INDEX(tblDocuments[Document Type], $K50) &amp; ""))), "")</f>
        <v>Report</v>
      </c>
      <c r="G50" s="7" t="str">
        <f>IFERROR(IF($K50 = "", "", INDEX(tblDocuments[Scope Group], $K50)), "")</f>
        <v>Network</v>
      </c>
      <c r="H50" s="10" t="str">
        <f>IFERROR(IF($K50 = "", "", IF(TRIM(INDEX(tblDocuments[Description], $K50) &amp; "") = "", "—", IF(LEN(TRIM(INDEX(tblDocuments[Description], $K50) &amp; "")) &gt; 165, LEFT(TRIM(INDEX(tblDocuments[Description], $K50) &amp; ""), 164) &amp; "…", TRIM(INDEX(tblDocuments[Description], $K50) &amp; "")))), "")</f>
        <v>Baseline latency and throughput measurements between AVS, Azure native services and the on-premises estate.</v>
      </c>
      <c r="K50" s="1">
        <f>IFERROR(IF(39 &gt; ResultCount, "", MATCH(LARGE(tblDocuments[Sort Key], 39), tblDocuments[Sort Key], 0)), "")</f>
        <v>39</v>
      </c>
    </row>
    <row r="51" spans="2:11" ht="30" customHeight="1" x14ac:dyDescent="0.25">
      <c r="B51" s="33"/>
      <c r="C51" s="33"/>
      <c r="E51" s="9" t="str">
        <f>IFERROR(IF($K51 = "", "", IF(INDEX(tblDocuments[Link Out], $K51) = "", INDEX(tblDocuments[Display Name], $K51), HYPERLINK(INDEX(tblDocuments[Link Out], $K51), INDEX(tblDocuments[Display Name], $K51)))), "")</f>
        <v>AVS Security Architecture</v>
      </c>
      <c r="F51" s="7" t="str">
        <f>IFERROR(IF($K51 = "", "", IF(TRIM(INDEX(tblDocuments[Document Type], $K51) &amp; "") = "", "—", TRIM(INDEX(tblDocuments[Document Type], $K51) &amp; ""))), "")</f>
        <v>Architecture</v>
      </c>
      <c r="G51" s="7" t="str">
        <f>IFERROR(IF($K51 = "", "", INDEX(tblDocuments[Scope Group], $K51)), "")</f>
        <v>Security</v>
      </c>
      <c r="H51" s="10" t="str">
        <f>IFERROR(IF($K51 = "", "", IF(TRIM(INDEX(tblDocuments[Description], $K51) &amp; "") = "", "—", IF(LEN(TRIM(INDEX(tblDocuments[Description], $K51) &amp; "")) &gt; 165, LEFT(TRIM(INDEX(tblDocuments[Description], $K51) &amp; ""), 164) &amp; "…", TRIM(INDEX(tblDocuments[Description], $K51) &amp; "")))), "")</f>
        <v>Security architecture for the AVS platform covering identity, network segmentation, encryption and logging.</v>
      </c>
      <c r="K51" s="1">
        <f>IFERROR(IF(40 &gt; ResultCount, "", MATCH(LARGE(tblDocuments[Sort Key], 40), tblDocuments[Sort Key], 0)), "")</f>
        <v>40</v>
      </c>
    </row>
    <row r="52" spans="2:11" ht="30" customHeight="1" x14ac:dyDescent="0.25">
      <c r="B52" s="33"/>
      <c r="C52" s="33"/>
      <c r="E52" s="9" t="str">
        <f>IFERROR(IF($K52 = "", "", IF(INDEX(tblDocuments[Link Out], $K52) = "", INDEX(tblDocuments[Display Name], $K52), HYPERLINK(INDEX(tblDocuments[Link Out], $K52), INDEX(tblDocuments[Display Name], $K52)))), "")</f>
        <v>AVS Security Baseline Policy</v>
      </c>
      <c r="F52" s="7" t="str">
        <f>IFERROR(IF($K52 = "", "", IF(TRIM(INDEX(tblDocuments[Document Type], $K52) &amp; "") = "", "—", TRIM(INDEX(tblDocuments[Document Type], $K52) &amp; ""))), "")</f>
        <v>Policy</v>
      </c>
      <c r="G52" s="7" t="str">
        <f>IFERROR(IF($K52 = "", "", INDEX(tblDocuments[Scope Group], $K52)), "")</f>
        <v>Security</v>
      </c>
      <c r="H52" s="10" t="str">
        <f>IFERROR(IF($K52 = "", "", IF(TRIM(INDEX(tblDocuments[Description], $K52) &amp; "") = "", "—", IF(LEN(TRIM(INDEX(tblDocuments[Description], $K52) &amp; "")) &gt; 165, LEFT(TRIM(INDEX(tblDocuments[Description], $K52) &amp; ""), 164) &amp; "…", TRIM(INDEX(tblDocuments[Description], $K52) &amp; "")))), "")</f>
        <v>Mandatory security baseline for AVS private clouds, vCenter, NSX-T and workload virtual machines.</v>
      </c>
      <c r="K52" s="1">
        <f>IFERROR(IF(41 &gt; ResultCount, "", MATCH(LARGE(tblDocuments[Sort Key], 41), tblDocuments[Sort Key], 0)), "")</f>
        <v>41</v>
      </c>
    </row>
    <row r="53" spans="2:11" ht="30" customHeight="1" x14ac:dyDescent="0.25">
      <c r="E53" s="9" t="str">
        <f>IFERROR(IF($K53 = "", "", IF(INDEX(tblDocuments[Link Out], $K53) = "", INDEX(tblDocuments[Display Name], $K53), HYPERLINK(INDEX(tblDocuments[Link Out], $K53), INDEX(tblDocuments[Display Name], $K53)))), "")</f>
        <v>Micro Segmentation Implementation Guide</v>
      </c>
      <c r="F53" s="7" t="str">
        <f>IFERROR(IF($K53 = "", "", IF(TRIM(INDEX(tblDocuments[Document Type], $K53) &amp; "") = "", "—", TRIM(INDEX(tblDocuments[Document Type], $K53) &amp; ""))), "")</f>
        <v>Guide</v>
      </c>
      <c r="G53" s="7" t="str">
        <f>IFERROR(IF($K53 = "", "", INDEX(tblDocuments[Scope Group], $K53)), "")</f>
        <v>Security</v>
      </c>
      <c r="H53" s="10" t="str">
        <f>IFERROR(IF($K53 = "", "", IF(TRIM(INDEX(tblDocuments[Description], $K53) &amp; "") = "", "—", IF(LEN(TRIM(INDEX(tblDocuments[Description], $K53) &amp; "")) &gt; 165, LEFT(TRIM(INDEX(tblDocuments[Description], $K53) &amp; ""), 164) &amp; "…", TRIM(INDEX(tblDocuments[Description], $K53) &amp; "")))), "")</f>
        <v>Implementation guide for micro segmentation using NSX-T distributed firewall and security tags.</v>
      </c>
      <c r="K53" s="1">
        <f>IFERROR(IF(42 &gt; ResultCount, "", MATCH(LARGE(tblDocuments[Sort Key], 42), tblDocuments[Sort Key], 0)), "")</f>
        <v>42</v>
      </c>
    </row>
    <row r="54" spans="2:11" ht="30" customHeight="1" x14ac:dyDescent="0.25">
      <c r="E54" s="9" t="str">
        <f>IFERROR(IF($K54 = "", "", IF(INDEX(tblDocuments[Link Out], $K54) = "", INDEX(tblDocuments[Display Name], $K54), HYPERLINK(INDEX(tblDocuments[Link Out], $K54), INDEX(tblDocuments[Display Name], $K54)))), "")</f>
        <v>vCenter Hardening Checklist</v>
      </c>
      <c r="F54" s="7" t="str">
        <f>IFERROR(IF($K54 = "", "", IF(TRIM(INDEX(tblDocuments[Document Type], $K54) &amp; "") = "", "—", TRIM(INDEX(tblDocuments[Document Type], $K54) &amp; ""))), "")</f>
        <v>Checklist</v>
      </c>
      <c r="G54" s="7" t="str">
        <f>IFERROR(IF($K54 = "", "", INDEX(tblDocuments[Scope Group], $K54)), "")</f>
        <v>Security</v>
      </c>
      <c r="H54" s="10" t="str">
        <f>IFERROR(IF($K54 = "", "", IF(TRIM(INDEX(tblDocuments[Description], $K54) &amp; "") = "", "—", IF(LEN(TRIM(INDEX(tblDocuments[Description], $K54) &amp; "")) &gt; 165, LEFT(TRIM(INDEX(tblDocuments[Description], $K54) &amp; ""), 164) &amp; "…", TRIM(INDEX(tblDocuments[Description], $K54) &amp; "")))), "")</f>
        <v>Hardening checklist for vCenter Server aligned to the VMware security configuration guide.</v>
      </c>
      <c r="K54" s="1">
        <f>IFERROR(IF(43 &gt; ResultCount, "", MATCH(LARGE(tblDocuments[Sort Key], 43), tblDocuments[Sort Key], 0)), "")</f>
        <v>43</v>
      </c>
    </row>
    <row r="55" spans="2:11" ht="30" customHeight="1" x14ac:dyDescent="0.25">
      <c r="E55" s="9" t="str">
        <f>IFERROR(IF($K55 = "", "", IF(INDEX(tblDocuments[Link Out], $K55) = "", INDEX(tblDocuments[Display Name], $K55), HYPERLINK(INDEX(tblDocuments[Link Out], $K55), INDEX(tblDocuments[Display Name], $K55)))), "")</f>
        <v>Security Incident Response Procedure for AVS</v>
      </c>
      <c r="F55" s="7" t="str">
        <f>IFERROR(IF($K55 = "", "", IF(TRIM(INDEX(tblDocuments[Document Type], $K55) &amp; "") = "", "—", TRIM(INDEX(tblDocuments[Document Type], $K55) &amp; ""))), "")</f>
        <v>SOP</v>
      </c>
      <c r="G55" s="7" t="str">
        <f>IFERROR(IF($K55 = "", "", INDEX(tblDocuments[Scope Group], $K55)), "")</f>
        <v>Security</v>
      </c>
      <c r="H55" s="10" t="str">
        <f>IFERROR(IF($K55 = "", "", IF(TRIM(INDEX(tblDocuments[Description], $K55) &amp; "") = "", "—", IF(LEN(TRIM(INDEX(tblDocuments[Description], $K55) &amp; "")) &gt; 165, LEFT(TRIM(INDEX(tblDocuments[Description], $K55) &amp; ""), 164) &amp; "…", TRIM(INDEX(tblDocuments[Description], $K55) &amp; "")))), "")</f>
        <v>Procedure for triaging, containing and reporting security incidents affecting the AVS estate.</v>
      </c>
      <c r="K55" s="1">
        <f>IFERROR(IF(44 &gt; ResultCount, "", MATCH(LARGE(tblDocuments[Sort Key], 44), tblDocuments[Sort Key], 0)), "")</f>
        <v>44</v>
      </c>
    </row>
    <row r="56" spans="2:11" ht="30" customHeight="1" x14ac:dyDescent="0.25">
      <c r="E56" s="9" t="str">
        <f>IFERROR(IF($K56 = "", "", IF(INDEX(tblDocuments[Link Out], $K56) = "", INDEX(tblDocuments[Display Name], $K56), HYPERLINK(INDEX(tblDocuments[Link Out], $K56), INDEX(tblDocuments[Display Name], $K56)))), "")</f>
        <v>Customer Managed Keys and Encryption Guide</v>
      </c>
      <c r="F56" s="7" t="str">
        <f>IFERROR(IF($K56 = "", "", IF(TRIM(INDEX(tblDocuments[Document Type], $K56) &amp; "") = "", "—", TRIM(INDEX(tblDocuments[Document Type], $K56) &amp; ""))), "")</f>
        <v>Guide</v>
      </c>
      <c r="G56" s="7" t="str">
        <f>IFERROR(IF($K56 = "", "", INDEX(tblDocuments[Scope Group], $K56)), "")</f>
        <v>Security</v>
      </c>
      <c r="H56" s="10" t="str">
        <f>IFERROR(IF($K56 = "", "", IF(TRIM(INDEX(tblDocuments[Description], $K56) &amp; "") = "", "—", IF(LEN(TRIM(INDEX(tblDocuments[Description], $K56) &amp; "")) &gt; 165, LEFT(TRIM(INDEX(tblDocuments[Description], $K56) &amp; ""), 164) &amp; "…", TRIM(INDEX(tblDocuments[Description], $K56) &amp; "")))), "")</f>
        <v>Guide to enabling customer managed keys with Azure Key Vault for vSAN datastore encryption.</v>
      </c>
      <c r="K56" s="1">
        <f>IFERROR(IF(45 &gt; ResultCount, "", MATCH(LARGE(tblDocuments[Sort Key], 45), tblDocuments[Sort Key], 0)), "")</f>
        <v>45</v>
      </c>
    </row>
    <row r="57" spans="2:11" ht="30" customHeight="1" x14ac:dyDescent="0.25">
      <c r="E57" s="9" t="str">
        <f>IFERROR(IF($K57 = "", "", IF(INDEX(tblDocuments[Link Out], $K57) = "", INDEX(tblDocuments[Display Name], $K57), HYPERLINK(INDEX(tblDocuments[Link Out], $K57), INDEX(tblDocuments[Display Name], $K57)))), "")</f>
        <v>AVS Penetration Test Summary</v>
      </c>
      <c r="F57" s="7" t="str">
        <f>IFERROR(IF($K57 = "", "", IF(TRIM(INDEX(tblDocuments[Document Type], $K57) &amp; "") = "", "—", TRIM(INDEX(tblDocuments[Document Type], $K57) &amp; ""))), "")</f>
        <v>Report</v>
      </c>
      <c r="G57" s="7" t="str">
        <f>IFERROR(IF($K57 = "", "", INDEX(tblDocuments[Scope Group], $K57)), "")</f>
        <v>Security</v>
      </c>
      <c r="H57" s="10" t="str">
        <f>IFERROR(IF($K57 = "", "", IF(TRIM(INDEX(tblDocuments[Description], $K57) &amp; "") = "", "—", IF(LEN(TRIM(INDEX(tblDocuments[Description], $K57) &amp; "")) &gt; 165, LEFT(TRIM(INDEX(tblDocuments[Description], $K57) &amp; ""), 164) &amp; "…", TRIM(INDEX(tblDocuments[Description], $K57) &amp; "")))), "")</f>
        <v>Executive summary and remediation tracker from the annual penetration test of the AVS platform.</v>
      </c>
      <c r="K57" s="1">
        <f>IFERROR(IF(46 &gt; ResultCount, "", MATCH(LARGE(tblDocuments[Sort Key], 46), tblDocuments[Sort Key], 0)), "")</f>
        <v>46</v>
      </c>
    </row>
    <row r="58" spans="2:11" ht="30" customHeight="1" x14ac:dyDescent="0.25">
      <c r="E58" s="9" t="str">
        <f>IFERROR(IF($K58 = "", "", IF(INDEX(tblDocuments[Link Out], $K58) = "", INDEX(tblDocuments[Display Name], $K58), HYPERLINK(INDEX(tblDocuments[Link Out], $K58), INDEX(tblDocuments[Display Name], $K58)))), "")</f>
        <v>Privileged Access Management Policy</v>
      </c>
      <c r="F58" s="7" t="str">
        <f>IFERROR(IF($K58 = "", "", IF(TRIM(INDEX(tblDocuments[Document Type], $K58) &amp; "") = "", "—", TRIM(INDEX(tblDocuments[Document Type], $K58) &amp; ""))), "")</f>
        <v>Policy</v>
      </c>
      <c r="G58" s="7" t="str">
        <f>IFERROR(IF($K58 = "", "", INDEX(tblDocuments[Scope Group], $K58)), "")</f>
        <v>Security</v>
      </c>
      <c r="H58" s="10" t="str">
        <f>IFERROR(IF($K58 = "", "", IF(TRIM(INDEX(tblDocuments[Description], $K58) &amp; "") = "", "—", IF(LEN(TRIM(INDEX(tblDocuments[Description], $K58) &amp; "")) &gt; 165, LEFT(TRIM(INDEX(tblDocuments[Description], $K58) &amp; ""), 164) &amp; "…", TRIM(INDEX(tblDocuments[Description], $K58) &amp; "")))), "")</f>
        <v>Policy governing privileged access to vCenter, NSX-T and the AVS control plane including break glass accounts.</v>
      </c>
      <c r="K58" s="1">
        <f>IFERROR(IF(47 &gt; ResultCount, "", MATCH(LARGE(tblDocuments[Sort Key], 47), tblDocuments[Sort Key], 0)), "")</f>
        <v>47</v>
      </c>
    </row>
    <row r="59" spans="2:11" ht="30" customHeight="1" x14ac:dyDescent="0.25">
      <c r="E59" s="9" t="str">
        <f>IFERROR(IF($K59 = "", "", IF(INDEX(tblDocuments[Link Out], $K59) = "", INDEX(tblDocuments[Display Name], $K59), HYPERLINK(INDEX(tblDocuments[Link Out], $K59), INDEX(tblDocuments[Display Name], $K59)))), "")</f>
        <v>Log Forwarding to Microsoft Sentinel</v>
      </c>
      <c r="F59" s="7" t="str">
        <f>IFERROR(IF($K59 = "", "", IF(TRIM(INDEX(tblDocuments[Document Type], $K59) &amp; "") = "", "—", TRIM(INDEX(tblDocuments[Document Type], $K59) &amp; ""))), "")</f>
        <v>Guide</v>
      </c>
      <c r="G59" s="7" t="str">
        <f>IFERROR(IF($K59 = "", "", INDEX(tblDocuments[Scope Group], $K59)), "")</f>
        <v>Security</v>
      </c>
      <c r="H59" s="10" t="str">
        <f>IFERROR(IF($K59 = "", "", IF(TRIM(INDEX(tblDocuments[Description], $K59) &amp; "") = "", "—", IF(LEN(TRIM(INDEX(tblDocuments[Description], $K59) &amp; "")) &gt; 165, LEFT(TRIM(INDEX(tblDocuments[Description], $K59) &amp; ""), 164) &amp; "…", TRIM(INDEX(tblDocuments[Description], $K59) &amp; "")))), "")</f>
        <v>Configuring diagnostic settings and syslog forwarding from AVS, vCenter and NSX-T into Microsoft Sentinel.</v>
      </c>
      <c r="K59" s="1">
        <f>IFERROR(IF(48 &gt; ResultCount, "", MATCH(LARGE(tblDocuments[Sort Key], 48), tblDocuments[Sort Key], 0)), "")</f>
        <v>48</v>
      </c>
    </row>
    <row r="60" spans="2:11" ht="30" customHeight="1" x14ac:dyDescent="0.25">
      <c r="E60" s="9" t="str">
        <f>IFERROR(IF($K60 = "", "", IF(INDEX(tblDocuments[Link Out], $K60) = "", INDEX(tblDocuments[Display Name], $K60), HYPERLINK(INDEX(tblDocuments[Link Out], $K60), INDEX(tblDocuments[Display Name], $K60)))), "")</f>
        <v>Third Party Security Risk Assessment</v>
      </c>
      <c r="F60" s="7" t="str">
        <f>IFERROR(IF($K60 = "", "", IF(TRIM(INDEX(tblDocuments[Document Type], $K60) &amp; "") = "", "—", TRIM(INDEX(tblDocuments[Document Type], $K60) &amp; ""))), "")</f>
        <v>Assessment</v>
      </c>
      <c r="G60" s="7" t="str">
        <f>IFERROR(IF($K60 = "", "", INDEX(tblDocuments[Scope Group], $K60)), "")</f>
        <v>Security</v>
      </c>
      <c r="H60" s="10" t="str">
        <f>IFERROR(IF($K60 = "", "", IF(TRIM(INDEX(tblDocuments[Description], $K60) &amp; "") = "", "—", IF(LEN(TRIM(INDEX(tblDocuments[Description], $K60) &amp; "")) &gt; 165, LEFT(TRIM(INDEX(tblDocuments[Description], $K60) &amp; ""), 164) &amp; "…", TRIM(INDEX(tblDocuments[Description], $K60) &amp; "")))), "")</f>
        <v>Risk assessment covering third party tooling deployed inside the AVS private clouds.</v>
      </c>
      <c r="K60" s="1">
        <f>IFERROR(IF(49 &gt; ResultCount, "", MATCH(LARGE(tblDocuments[Sort Key], 49), tblDocuments[Sort Key], 0)), "")</f>
        <v>49</v>
      </c>
    </row>
    <row r="61" spans="2:11" ht="30" customHeight="1" x14ac:dyDescent="0.25">
      <c r="E61" s="9" t="str">
        <f>IFERROR(IF($K61 = "", "", IF(INDEX(tblDocuments[Link Out], $K61) = "", INDEX(tblDocuments[Display Name], $K61), HYPERLINK(INDEX(tblDocuments[Link Out], $K61), INDEX(tblDocuments[Display Name], $K61)))), "")</f>
        <v>Antivirus and EDR Deployment for AVS Workloads</v>
      </c>
      <c r="F61" s="7" t="str">
        <f>IFERROR(IF($K61 = "", "", IF(TRIM(INDEX(tblDocuments[Document Type], $K61) &amp; "") = "", "—", TRIM(INDEX(tblDocuments[Document Type], $K61) &amp; ""))), "")</f>
        <v>Guide</v>
      </c>
      <c r="G61" s="7" t="str">
        <f>IFERROR(IF($K61 = "", "", INDEX(tblDocuments[Scope Group], $K61)), "")</f>
        <v>Security</v>
      </c>
      <c r="H61" s="10" t="str">
        <f>IFERROR(IF($K61 = "", "", IF(TRIM(INDEX(tblDocuments[Description], $K61) &amp; "") = "", "—", IF(LEN(TRIM(INDEX(tblDocuments[Description], $K61) &amp; "")) &gt; 165, LEFT(TRIM(INDEX(tblDocuments[Description], $K61) &amp; ""), 164) &amp; "…", TRIM(INDEX(tblDocuments[Description], $K61) &amp; "")))), "")</f>
        <v>Deployment approach for endpoint detection and response agents on virtual machines hosted in AVS.</v>
      </c>
      <c r="K61" s="1">
        <f>IFERROR(IF(50 &gt; ResultCount, "", MATCH(LARGE(tblDocuments[Sort Key], 50), tblDocuments[Sort Key], 0)), "")</f>
        <v>50</v>
      </c>
    </row>
    <row r="62" spans="2:11" ht="30" customHeight="1" x14ac:dyDescent="0.25">
      <c r="E62" s="9" t="str">
        <f>IFERROR(IF($K62 = "", "", IF(INDEX(tblDocuments[Link Out], $K62) = "", INDEX(tblDocuments[Display Name], $K62), HYPERLINK(INDEX(tblDocuments[Link Out], $K62), INDEX(tblDocuments[Display Name], $K62)))), "")</f>
        <v>AVS Daily Operations Runbook</v>
      </c>
      <c r="F62" s="7" t="str">
        <f>IFERROR(IF($K62 = "", "", IF(TRIM(INDEX(tblDocuments[Document Type], $K62) &amp; "") = "", "—", TRIM(INDEX(tblDocuments[Document Type], $K62) &amp; ""))), "")</f>
        <v>Runbook</v>
      </c>
      <c r="G62" s="7" t="str">
        <f>IFERROR(IF($K62 = "", "", INDEX(tblDocuments[Scope Group], $K62)), "")</f>
        <v>Operations</v>
      </c>
      <c r="H62" s="10" t="str">
        <f>IFERROR(IF($K62 = "", "", IF(TRIM(INDEX(tblDocuments[Description], $K62) &amp; "") = "", "—", IF(LEN(TRIM(INDEX(tblDocuments[Description], $K62) &amp; "")) &gt; 165, LEFT(TRIM(INDEX(tblDocuments[Description], $K62) &amp; ""), 164) &amp; "…", TRIM(INDEX(tblDocuments[Description], $K62) &amp; "")))), "")</f>
        <v>Daily operational checks for the AVS platform including health, capacity, alerts and backup status.</v>
      </c>
      <c r="K62" s="1">
        <f>IFERROR(IF(51 &gt; ResultCount, "", MATCH(LARGE(tblDocuments[Sort Key], 51), tblDocuments[Sort Key], 0)), "")</f>
        <v>51</v>
      </c>
    </row>
    <row r="63" spans="2:11" ht="30" customHeight="1" x14ac:dyDescent="0.25">
      <c r="E63" s="9" t="str">
        <f>IFERROR(IF($K63 = "", "", IF(INDEX(tblDocuments[Link Out], $K63) = "", INDEX(tblDocuments[Display Name], $K63), HYPERLINK(INDEX(tblDocuments[Link Out], $K63), INDEX(tblDocuments[Display Name], $K63)))), "")</f>
        <v>Host Replacement and Node Addition SOP</v>
      </c>
      <c r="F63" s="7" t="str">
        <f>IFERROR(IF($K63 = "", "", IF(TRIM(INDEX(tblDocuments[Document Type], $K63) &amp; "") = "", "—", TRIM(INDEX(tblDocuments[Document Type], $K63) &amp; ""))), "")</f>
        <v>SOP</v>
      </c>
      <c r="G63" s="7" t="str">
        <f>IFERROR(IF($K63 = "", "", INDEX(tblDocuments[Scope Group], $K63)), "")</f>
        <v>Operations</v>
      </c>
      <c r="H63" s="10" t="str">
        <f>IFERROR(IF($K63 = "", "", IF(TRIM(INDEX(tblDocuments[Description], $K63) &amp; "") = "", "—", IF(LEN(TRIM(INDEX(tblDocuments[Description], $K63) &amp; "")) &gt; 165, LEFT(TRIM(INDEX(tblDocuments[Description], $K63) &amp; ""), 164) &amp; "…", TRIM(INDEX(tblDocuments[Description], $K63) &amp; "")))), "")</f>
        <v>Standard operating procedure for adding, replacing or removing an ESXi host node from an AVS cluster.</v>
      </c>
      <c r="K63" s="1">
        <f>IFERROR(IF(52 &gt; ResultCount, "", MATCH(LARGE(tblDocuments[Sort Key], 52), tblDocuments[Sort Key], 0)), "")</f>
        <v>52</v>
      </c>
    </row>
    <row r="64" spans="2:11" ht="30" customHeight="1" x14ac:dyDescent="0.25">
      <c r="E64" s="9" t="str">
        <f>IFERROR(IF($K64 = "", "", IF(INDEX(tblDocuments[Link Out], $K64) = "", INDEX(tblDocuments[Display Name], $K64), HYPERLINK(INDEX(tblDocuments[Link Out], $K64), INDEX(tblDocuments[Display Name], $K64)))), "")</f>
        <v>AVS Private Cloud Upgrade and Maintenance Guide</v>
      </c>
      <c r="F64" s="7" t="str">
        <f>IFERROR(IF($K64 = "", "", IF(TRIM(INDEX(tblDocuments[Document Type], $K64) &amp; "") = "", "—", TRIM(INDEX(tblDocuments[Document Type], $K64) &amp; ""))), "")</f>
        <v>Guide</v>
      </c>
      <c r="G64" s="7" t="str">
        <f>IFERROR(IF($K64 = "", "", INDEX(tblDocuments[Scope Group], $K64)), "")</f>
        <v>Operations</v>
      </c>
      <c r="H64" s="10" t="str">
        <f>IFERROR(IF($K64 = "", "", IF(TRIM(INDEX(tblDocuments[Description], $K64) &amp; "") = "", "—", IF(LEN(TRIM(INDEX(tblDocuments[Description], $K64) &amp; "")) &gt; 165, LEFT(TRIM(INDEX(tblDocuments[Description], $K64) &amp; ""), 164) &amp; "…", TRIM(INDEX(tblDocuments[Description], $K64) &amp; "")))), "")</f>
        <v>How Microsoft managed platform upgrades work, maintenance windows, notification handling and customer responsibilities.</v>
      </c>
      <c r="K64" s="1">
        <f>IFERROR(IF(53 &gt; ResultCount, "", MATCH(LARGE(tblDocuments[Sort Key], 53), tblDocuments[Sort Key], 0)), "")</f>
        <v>53</v>
      </c>
    </row>
    <row r="65" spans="5:11" ht="30" customHeight="1" x14ac:dyDescent="0.25">
      <c r="E65" s="9" t="str">
        <f>IFERROR(IF($K65 = "", "", IF(INDEX(tblDocuments[Link Out], $K65) = "", INDEX(tblDocuments[Display Name], $K65), HYPERLINK(INDEX(tblDocuments[Link Out], $K65), INDEX(tblDocuments[Display Name], $K65)))), "")</f>
        <v>Capacity Expansion Runbook</v>
      </c>
      <c r="F65" s="7" t="str">
        <f>IFERROR(IF($K65 = "", "", IF(TRIM(INDEX(tblDocuments[Document Type], $K65) &amp; "") = "", "—", TRIM(INDEX(tblDocuments[Document Type], $K65) &amp; ""))), "")</f>
        <v>Runbook</v>
      </c>
      <c r="G65" s="7" t="str">
        <f>IFERROR(IF($K65 = "", "", INDEX(tblDocuments[Scope Group], $K65)), "")</f>
        <v>Operations</v>
      </c>
      <c r="H65" s="10" t="str">
        <f>IFERROR(IF($K65 = "", "", IF(TRIM(INDEX(tblDocuments[Description], $K65) &amp; "") = "", "—", IF(LEN(TRIM(INDEX(tblDocuments[Description], $K65) &amp; "")) &gt; 165, LEFT(TRIM(INDEX(tblDocuments[Description], $K65) &amp; ""), 164) &amp; "…", TRIM(INDEX(tblDocuments[Description], $K65) &amp; "")))), "")</f>
        <v>Runbook for requesting quota, adding nodes and rebalancing workloads when a cluster approaches capacity thresholds.</v>
      </c>
      <c r="K65" s="1">
        <f>IFERROR(IF(54 &gt; ResultCount, "", MATCH(LARGE(tblDocuments[Sort Key], 54), tblDocuments[Sort Key], 0)), "")</f>
        <v>54</v>
      </c>
    </row>
    <row r="66" spans="5:11" ht="30" customHeight="1" x14ac:dyDescent="0.25">
      <c r="E66" s="9" t="str">
        <f>IFERROR(IF($K66 = "", "", IF(INDEX(tblDocuments[Link Out], $K66) = "", INDEX(tblDocuments[Display Name], $K66), HYPERLINK(INDEX(tblDocuments[Link Out], $K66), INDEX(tblDocuments[Display Name], $K66)))), "")</f>
        <v>Change Management Process for AVS</v>
      </c>
      <c r="F66" s="7" t="str">
        <f>IFERROR(IF($K66 = "", "", IF(TRIM(INDEX(tblDocuments[Document Type], $K66) &amp; "") = "", "—", TRIM(INDEX(tblDocuments[Document Type], $K66) &amp; ""))), "")</f>
        <v>SOP</v>
      </c>
      <c r="G66" s="7" t="str">
        <f>IFERROR(IF($K66 = "", "", INDEX(tblDocuments[Scope Group], $K66)), "")</f>
        <v>Operations</v>
      </c>
      <c r="H66" s="10" t="str">
        <f>IFERROR(IF($K66 = "", "", IF(TRIM(INDEX(tblDocuments[Description], $K66) &amp; "") = "", "—", IF(LEN(TRIM(INDEX(tblDocuments[Description], $K66) &amp; "")) &gt; 165, LEFT(TRIM(INDEX(tblDocuments[Description], $K66) &amp; ""), 164) &amp; "…", TRIM(INDEX(tblDocuments[Description], $K66) &amp; "")))), "")</f>
        <v>Change management process, CAB requirements and change categories applicable to the AVS platform.</v>
      </c>
      <c r="K66" s="1">
        <f>IFERROR(IF(55 &gt; ResultCount, "", MATCH(LARGE(tblDocuments[Sort Key], 55), tblDocuments[Sort Key], 0)), "")</f>
        <v>55</v>
      </c>
    </row>
    <row r="67" spans="5:11" ht="30" customHeight="1" x14ac:dyDescent="0.25">
      <c r="E67" s="9" t="str">
        <f>IFERROR(IF($K67 = "", "", IF(INDEX(tblDocuments[Link Out], $K67) = "", INDEX(tblDocuments[Display Name], $K67), HYPERLINK(INDEX(tblDocuments[Link Out], $K67), INDEX(tblDocuments[Display Name], $K67)))), "")</f>
        <v>Monitoring and Alerting Design</v>
      </c>
      <c r="F67" s="7" t="str">
        <f>IFERROR(IF($K67 = "", "", IF(TRIM(INDEX(tblDocuments[Document Type], $K67) &amp; "") = "", "—", TRIM(INDEX(tblDocuments[Document Type], $K67) &amp; ""))), "")</f>
        <v>Guide</v>
      </c>
      <c r="G67" s="7" t="str">
        <f>IFERROR(IF($K67 = "", "", INDEX(tblDocuments[Scope Group], $K67)), "")</f>
        <v>Operations</v>
      </c>
      <c r="H67" s="10" t="str">
        <f>IFERROR(IF($K67 = "", "", IF(TRIM(INDEX(tblDocuments[Description], $K67) &amp; "") = "", "—", IF(LEN(TRIM(INDEX(tblDocuments[Description], $K67) &amp; "")) &gt; 165, LEFT(TRIM(INDEX(tblDocuments[Description], $K67) &amp; ""), 164) &amp; "…", TRIM(INDEX(tblDocuments[Description], $K67) &amp; "")))), "")</f>
        <v>Monitoring design covering Azure Monitor, vRealize Operations metrics, alert thresholds and routing to the service desk.</v>
      </c>
      <c r="K67" s="1">
        <f>IFERROR(IF(56 &gt; ResultCount, "", MATCH(LARGE(tblDocuments[Sort Key], 56), tblDocuments[Sort Key], 0)), "")</f>
        <v>56</v>
      </c>
    </row>
    <row r="68" spans="5:11" ht="30" customHeight="1" x14ac:dyDescent="0.25">
      <c r="E68" s="9" t="str">
        <f>IFERROR(IF($K68 = "", "", IF(INDEX(tblDocuments[Link Out], $K68) = "", INDEX(tblDocuments[Display Name], $K68), HYPERLINK(INDEX(tblDocuments[Link Out], $K68), INDEX(tblDocuments[Display Name], $K68)))), "")</f>
        <v>Support Request and Escalation Runbook</v>
      </c>
      <c r="F68" s="7" t="str">
        <f>IFERROR(IF($K68 = "", "", IF(TRIM(INDEX(tblDocuments[Document Type], $K68) &amp; "") = "", "—", TRIM(INDEX(tblDocuments[Document Type], $K68) &amp; ""))), "")</f>
        <v>Runbook</v>
      </c>
      <c r="G68" s="7" t="str">
        <f>IFERROR(IF($K68 = "", "", INDEX(tblDocuments[Scope Group], $K68)), "")</f>
        <v>Operations</v>
      </c>
      <c r="H68" s="10" t="str">
        <f>IFERROR(IF($K68 = "", "", IF(TRIM(INDEX(tblDocuments[Description], $K68) &amp; "") = "", "—", IF(LEN(TRIM(INDEX(tblDocuments[Description], $K68) &amp; "")) &gt; 165, LEFT(TRIM(INDEX(tblDocuments[Description], $K68) &amp; ""), 164) &amp; "…", TRIM(INDEX(tblDocuments[Description], $K68) &amp; "")))), "")</f>
        <v>How to raise a Microsoft support request for AVS, severity definitions and the internal escalation path.</v>
      </c>
      <c r="K68" s="1">
        <f>IFERROR(IF(57 &gt; ResultCount, "", MATCH(LARGE(tblDocuments[Sort Key], 57), tblDocuments[Sort Key], 0)), "")</f>
        <v>57</v>
      </c>
    </row>
    <row r="69" spans="5:11" ht="30" customHeight="1" x14ac:dyDescent="0.25">
      <c r="E69" s="9" t="str">
        <f>IFERROR(IF($K69 = "", "", IF(INDEX(tblDocuments[Link Out], $K69) = "", INDEX(tblDocuments[Display Name], $K69), HYPERLINK(INDEX(tblDocuments[Link Out], $K69), INDEX(tblDocuments[Display Name], $K69)))), "")</f>
        <v>Monthly Platform Health Checklist</v>
      </c>
      <c r="F69" s="7" t="str">
        <f>IFERROR(IF($K69 = "", "", IF(TRIM(INDEX(tblDocuments[Document Type], $K69) &amp; "") = "", "—", TRIM(INDEX(tblDocuments[Document Type], $K69) &amp; ""))), "")</f>
        <v>Checklist</v>
      </c>
      <c r="G69" s="7" t="str">
        <f>IFERROR(IF($K69 = "", "", INDEX(tblDocuments[Scope Group], $K69)), "")</f>
        <v>Operations</v>
      </c>
      <c r="H69" s="10" t="str">
        <f>IFERROR(IF($K69 = "", "", IF(TRIM(INDEX(tblDocuments[Description], $K69) &amp; "") = "", "—", IF(LEN(TRIM(INDEX(tblDocuments[Description], $K69) &amp; "")) &gt; 165, LEFT(TRIM(INDEX(tblDocuments[Description], $K69) &amp; ""), 164) &amp; "…", TRIM(INDEX(tblDocuments[Description], $K69) &amp; "")))), "")</f>
        <v>Monthly health review checklist covering capacity trend, patch level, backup success and open risks.</v>
      </c>
      <c r="K69" s="1">
        <f>IFERROR(IF(58 &gt; ResultCount, "", MATCH(LARGE(tblDocuments[Sort Key], 58), tblDocuments[Sort Key], 0)), "")</f>
        <v>58</v>
      </c>
    </row>
    <row r="70" spans="5:11" ht="30" customHeight="1" x14ac:dyDescent="0.25">
      <c r="E70" s="9" t="str">
        <f>IFERROR(IF($K70 = "", "", IF(INDEX(tblDocuments[Link Out], $K70) = "", INDEX(tblDocuments[Display Name], $K70), HYPERLINK(INDEX(tblDocuments[Link Out], $K70), INDEX(tblDocuments[Display Name], $K70)))), "")</f>
        <v>AVS Monthly Service Report Template</v>
      </c>
      <c r="F70" s="7" t="str">
        <f>IFERROR(IF($K70 = "", "", IF(TRIM(INDEX(tblDocuments[Document Type], $K70) &amp; "") = "", "—", TRIM(INDEX(tblDocuments[Document Type], $K70) &amp; ""))), "")</f>
        <v>Report</v>
      </c>
      <c r="G70" s="7" t="str">
        <f>IFERROR(IF($K70 = "", "", INDEX(tblDocuments[Scope Group], $K70)), "")</f>
        <v>Operations</v>
      </c>
      <c r="H70" s="10" t="str">
        <f>IFERROR(IF($K70 = "", "", IF(TRIM(INDEX(tblDocuments[Description], $K70) &amp; "") = "", "—", IF(LEN(TRIM(INDEX(tblDocuments[Description], $K70) &amp; "")) &gt; 165, LEFT(TRIM(INDEX(tblDocuments[Description], $K70) &amp; ""), 164) &amp; "…", TRIM(INDEX(tblDocuments[Description], $K70) &amp; "")))), "")</f>
        <v>Template for the monthly service report issued to the business, including availability and incident summary.</v>
      </c>
      <c r="K70" s="1">
        <f>IFERROR(IF(59 &gt; ResultCount, "", MATCH(LARGE(tblDocuments[Sort Key], 59), tblDocuments[Sort Key], 0)), "")</f>
        <v>59</v>
      </c>
    </row>
    <row r="71" spans="5:11" ht="30" customHeight="1" x14ac:dyDescent="0.25">
      <c r="E71" s="9" t="str">
        <f>IFERROR(IF($K71 = "", "", IF(INDEX(tblDocuments[Link Out], $K71) = "", INDEX(tblDocuments[Display Name], $K71), HYPERLINK(INDEX(tblDocuments[Link Out], $K71), INDEX(tblDocuments[Display Name], $K71)))), "")</f>
        <v>Virtual Machine Provisioning Standard</v>
      </c>
      <c r="F71" s="7" t="str">
        <f>IFERROR(IF($K71 = "", "", IF(TRIM(INDEX(tblDocuments[Document Type], $K71) &amp; "") = "", "—", TRIM(INDEX(tblDocuments[Document Type], $K71) &amp; ""))), "")</f>
        <v>SOP</v>
      </c>
      <c r="G71" s="7" t="str">
        <f>IFERROR(IF($K71 = "", "", INDEX(tblDocuments[Scope Group], $K71)), "")</f>
        <v>Operations</v>
      </c>
      <c r="H71" s="10" t="str">
        <f>IFERROR(IF($K71 = "", "", IF(TRIM(INDEX(tblDocuments[Description], $K71) &amp; "") = "", "—", IF(LEN(TRIM(INDEX(tblDocuments[Description], $K71) &amp; "")) &gt; 165, LEFT(TRIM(INDEX(tblDocuments[Description], $K71) &amp; ""), 164) &amp; "…", TRIM(INDEX(tblDocuments[Description], $K71) &amp; "")))), "")</f>
        <v>Standard for provisioning new virtual machines in AVS including naming, tagging, sizing and placement rules.</v>
      </c>
      <c r="K71" s="1">
        <f>IFERROR(IF(60 &gt; ResultCount, "", MATCH(LARGE(tblDocuments[Sort Key], 60), tblDocuments[Sort Key], 0)), "")</f>
        <v>60</v>
      </c>
    </row>
    <row r="72" spans="5:11" ht="30" customHeight="1" x14ac:dyDescent="0.25">
      <c r="E72" s="9" t="str">
        <f>IFERROR(IF($K72 = "", "", IF(INDEX(tblDocuments[Link Out], $K72) = "", INDEX(tblDocuments[Display Name], $K72), HYPERLINK(INDEX(tblDocuments[Link Out], $K72), INDEX(tblDocuments[Display Name], $K72)))), "")</f>
        <v>vRealize Operations Dashboard Guide</v>
      </c>
      <c r="F72" s="7" t="str">
        <f>IFERROR(IF($K72 = "", "", IF(TRIM(INDEX(tblDocuments[Document Type], $K72) &amp; "") = "", "—", TRIM(INDEX(tblDocuments[Document Type], $K72) &amp; ""))), "")</f>
        <v>Guide</v>
      </c>
      <c r="G72" s="7" t="str">
        <f>IFERROR(IF($K72 = "", "", INDEX(tblDocuments[Scope Group], $K72)), "")</f>
        <v>Operations</v>
      </c>
      <c r="H72" s="10" t="str">
        <f>IFERROR(IF($K72 = "", "", IF(TRIM(INDEX(tblDocuments[Description], $K72) &amp; "") = "", "—", IF(LEN(TRIM(INDEX(tblDocuments[Description], $K72) &amp; "")) &gt; 165, LEFT(TRIM(INDEX(tblDocuments[Description], $K72) &amp; ""), 164) &amp; "…", TRIM(INDEX(tblDocuments[Description], $K72) &amp; "")))), "")</f>
        <v>Guide to the custom vRealize Operations dashboards built for the AVS platform and how to interpret them.</v>
      </c>
      <c r="K72" s="1">
        <f>IFERROR(IF(61 &gt; ResultCount, "", MATCH(LARGE(tblDocuments[Sort Key], 61), tblDocuments[Sort Key], 0)), "")</f>
        <v>61</v>
      </c>
    </row>
    <row r="73" spans="5:11" ht="30" customHeight="1" x14ac:dyDescent="0.25">
      <c r="E73" s="9" t="str">
        <f>IFERROR(IF($K73 = "", "", IF(INDEX(tblDocuments[Link Out], $K73) = "", INDEX(tblDocuments[Display Name], $K73), HYPERLINK(INDEX(tblDocuments[Link Out], $K73), INDEX(tblDocuments[Display Name], $K73)))), "")</f>
        <v>Troubleshooting VM Performance Issues</v>
      </c>
      <c r="F73" s="7" t="str">
        <f>IFERROR(IF($K73 = "", "", IF(TRIM(INDEX(tblDocuments[Document Type], $K73) &amp; "") = "", "—", TRIM(INDEX(tblDocuments[Document Type], $K73) &amp; ""))), "")</f>
        <v>Runbook</v>
      </c>
      <c r="G73" s="7" t="str">
        <f>IFERROR(IF($K73 = "", "", INDEX(tblDocuments[Scope Group], $K73)), "")</f>
        <v>Operations</v>
      </c>
      <c r="H73" s="10" t="str">
        <f>IFERROR(IF($K73 = "", "", IF(TRIM(INDEX(tblDocuments[Description], $K73) &amp; "") = "", "—", IF(LEN(TRIM(INDEX(tblDocuments[Description], $K73) &amp; "")) &gt; 165, LEFT(TRIM(INDEX(tblDocuments[Description], $K73) &amp; ""), 164) &amp; "…", TRIM(INDEX(tblDocuments[Description], $K73) &amp; "")))), "")</f>
        <v>Troubleshooting flow for CPU ready, memory ballooning, storage latency and network drops affecting AVS workloads.</v>
      </c>
      <c r="K73" s="1">
        <f>IFERROR(IF(62 &gt; ResultCount, "", MATCH(LARGE(tblDocuments[Sort Key], 62), tblDocuments[Sort Key], 0)), "")</f>
        <v>62</v>
      </c>
    </row>
    <row r="74" spans="5:11" ht="30" customHeight="1" x14ac:dyDescent="0.25">
      <c r="E74" s="9" t="str">
        <f>IFERROR(IF($K74 = "", "", IF(INDEX(tblDocuments[Link Out], $K74) = "", INDEX(tblDocuments[Display Name], $K74), HYPERLINK(INDEX(tblDocuments[Link Out], $K74), INDEX(tblDocuments[Display Name], $K74)))), "")</f>
        <v>Tagging and Naming Convention Policy</v>
      </c>
      <c r="F74" s="7" t="str">
        <f>IFERROR(IF($K74 = "", "", IF(TRIM(INDEX(tblDocuments[Document Type], $K74) &amp; "") = "", "—", TRIM(INDEX(tblDocuments[Document Type], $K74) &amp; ""))), "")</f>
        <v>Policy</v>
      </c>
      <c r="G74" s="7" t="str">
        <f>IFERROR(IF($K74 = "", "", INDEX(tblDocuments[Scope Group], $K74)), "")</f>
        <v>Operations</v>
      </c>
      <c r="H74" s="10" t="str">
        <f>IFERROR(IF($K74 = "", "", IF(TRIM(INDEX(tblDocuments[Description], $K74) &amp; "") = "", "—", IF(LEN(TRIM(INDEX(tblDocuments[Description], $K74) &amp; "")) &gt; 165, LEFT(TRIM(INDEX(tblDocuments[Description], $K74) &amp; ""), 164) &amp; "…", TRIM(INDEX(tblDocuments[Description], $K74) &amp; "")))), "")</f>
        <v>Mandatory resource tagging and naming conventions applied to AVS resources and hosted workloads.</v>
      </c>
      <c r="K74" s="1">
        <f>IFERROR(IF(63 &gt; ResultCount, "", MATCH(LARGE(tblDocuments[Sort Key], 63), tblDocuments[Sort Key], 0)), "")</f>
        <v>63</v>
      </c>
    </row>
    <row r="75" spans="5:11" ht="30" customHeight="1" x14ac:dyDescent="0.25">
      <c r="E75" s="9" t="str">
        <f>IFERROR(IF($K75 = "", "", IF(INDEX(tblDocuments[Link Out], $K75) = "", INDEX(tblDocuments[Display Name], $K75), HYPERLINK(INDEX(tblDocuments[Link Out], $K75), INDEX(tblDocuments[Display Name], $K75)))), "")</f>
        <v>vSAN Storage Policy Low Level Design</v>
      </c>
      <c r="F75" s="7" t="str">
        <f>IFERROR(IF($K75 = "", "", IF(TRIM(INDEX(tblDocuments[Document Type], $K75) &amp; "") = "", "—", TRIM(INDEX(tblDocuments[Document Type], $K75) &amp; ""))), "")</f>
        <v>LLD</v>
      </c>
      <c r="G75" s="7" t="str">
        <f>IFERROR(IF($K75 = "", "", INDEX(tblDocuments[Scope Group], $K75)), "")</f>
        <v>Storage</v>
      </c>
      <c r="H75" s="10" t="str">
        <f>IFERROR(IF($K75 = "", "", IF(TRIM(INDEX(tblDocuments[Description], $K75) &amp; "") = "", "—", IF(LEN(TRIM(INDEX(tblDocuments[Description], $K75) &amp; "")) &gt; 165, LEFT(TRIM(INDEX(tblDocuments[Description], $K75) &amp; ""), 164) &amp; "…", TRIM(INDEX(tblDocuments[Description], $K75) &amp; "")))), "")</f>
        <v>Design of the vSAN storage policies including failures to tolerate, stripe width and the policy to workload mapping.</v>
      </c>
      <c r="K75" s="1">
        <f>IFERROR(IF(64 &gt; ResultCount, "", MATCH(LARGE(tblDocuments[Sort Key], 64), tblDocuments[Sort Key], 0)), "")</f>
        <v>64</v>
      </c>
    </row>
    <row r="76" spans="5:11" ht="30" customHeight="1" x14ac:dyDescent="0.25">
      <c r="E76" s="9" t="str">
        <f>IFERROR(IF($K76 = "", "", IF(INDEX(tblDocuments[Link Out], $K76) = "", INDEX(tblDocuments[Display Name], $K76), HYPERLINK(INDEX(tblDocuments[Link Out], $K76), INDEX(tblDocuments[Display Name], $K76)))), "")</f>
        <v>Azure NetApp Files Datastore Guide</v>
      </c>
      <c r="F76" s="7" t="str">
        <f>IFERROR(IF($K76 = "", "", IF(TRIM(INDEX(tblDocuments[Document Type], $K76) &amp; "") = "", "—", TRIM(INDEX(tblDocuments[Document Type], $K76) &amp; ""))), "")</f>
        <v>Guide</v>
      </c>
      <c r="G76" s="7" t="str">
        <f>IFERROR(IF($K76 = "", "", INDEX(tblDocuments[Scope Group], $K76)), "")</f>
        <v>Storage</v>
      </c>
      <c r="H76" s="10" t="str">
        <f>IFERROR(IF($K76 = "", "", IF(TRIM(INDEX(tblDocuments[Description], $K76) &amp; "") = "", "—", IF(LEN(TRIM(INDEX(tblDocuments[Description], $K76) &amp; "")) &gt; 165, LEFT(TRIM(INDEX(tblDocuments[Description], $K76) &amp; ""), 164) &amp; "…", TRIM(INDEX(tblDocuments[Description], $K76) &amp; "")))), "")</f>
        <v>Guide to attaching and operating Azure NetApp Files datastores with AVS to decouple storage from compute scaling.</v>
      </c>
      <c r="K76" s="1">
        <f>IFERROR(IF(65 &gt; ResultCount, "", MATCH(LARGE(tblDocuments[Sort Key], 65), tblDocuments[Sort Key], 0)), "")</f>
        <v>65</v>
      </c>
    </row>
    <row r="77" spans="5:11" ht="30" customHeight="1" x14ac:dyDescent="0.25">
      <c r="E77" s="9" t="str">
        <f>IFERROR(IF($K77 = "", "", IF(INDEX(tblDocuments[Link Out], $K77) = "", INDEX(tblDocuments[Display Name], $K77), HYPERLINK(INDEX(tblDocuments[Link Out], $K77), INDEX(tblDocuments[Display Name], $K77)))), "")</f>
        <v>Datastore Capacity Management Runbook</v>
      </c>
      <c r="F77" s="7" t="str">
        <f>IFERROR(IF($K77 = "", "", IF(TRIM(INDEX(tblDocuments[Document Type], $K77) &amp; "") = "", "—", TRIM(INDEX(tblDocuments[Document Type], $K77) &amp; ""))), "")</f>
        <v>Runbook</v>
      </c>
      <c r="G77" s="7" t="str">
        <f>IFERROR(IF($K77 = "", "", INDEX(tblDocuments[Scope Group], $K77)), "")</f>
        <v>Storage</v>
      </c>
      <c r="H77" s="10" t="str">
        <f>IFERROR(IF($K77 = "", "", IF(TRIM(INDEX(tblDocuments[Description], $K77) &amp; "") = "", "—", IF(LEN(TRIM(INDEX(tblDocuments[Description], $K77) &amp; "")) &gt; 165, LEFT(TRIM(INDEX(tblDocuments[Description], $K77) &amp; ""), 164) &amp; "…", TRIM(INDEX(tblDocuments[Description], $K77) &amp; "")))), "")</f>
        <v>Runbook for monitoring datastore utilisation, managing slack space and responding to capacity alerts.</v>
      </c>
      <c r="K77" s="1">
        <f>IFERROR(IF(66 &gt; ResultCount, "", MATCH(LARGE(tblDocuments[Sort Key], 66), tblDocuments[Sort Key], 0)), "")</f>
        <v>66</v>
      </c>
    </row>
    <row r="78" spans="5:11" ht="30" customHeight="1" x14ac:dyDescent="0.25">
      <c r="E78" s="9" t="str">
        <f>IFERROR(IF($K78 = "", "", IF(INDEX(tblDocuments[Link Out], $K78) = "", INDEX(tblDocuments[Display Name], $K78), HYPERLINK(INDEX(tblDocuments[Link Out], $K78), INDEX(tblDocuments[Display Name], $K78)))), "")</f>
        <v>Elastic SAN and Azure Files Integration</v>
      </c>
      <c r="F78" s="7" t="str">
        <f>IFERROR(IF($K78 = "", "", IF(TRIM(INDEX(tblDocuments[Document Type], $K78) &amp; "") = "", "—", TRIM(INDEX(tblDocuments[Document Type], $K78) &amp; ""))), "")</f>
        <v>Guide</v>
      </c>
      <c r="G78" s="7" t="str">
        <f>IFERROR(IF($K78 = "", "", INDEX(tblDocuments[Scope Group], $K78)), "")</f>
        <v>Storage</v>
      </c>
      <c r="H78" s="10" t="str">
        <f>IFERROR(IF($K78 = "", "", IF(TRIM(INDEX(tblDocuments[Description], $K78) &amp; "") = "", "—", IF(LEN(TRIM(INDEX(tblDocuments[Description], $K78) &amp; "")) &gt; 165, LEFT(TRIM(INDEX(tblDocuments[Description], $K78) &amp; ""), 164) &amp; "…", TRIM(INDEX(tblDocuments[Description], $K78) &amp; "")))), "")</f>
        <v>Options for presenting Azure Elastic SAN and Azure Files storage to workloads running in AVS.</v>
      </c>
      <c r="K78" s="1">
        <f>IFERROR(IF(67 &gt; ResultCount, "", MATCH(LARGE(tblDocuments[Sort Key], 67), tblDocuments[Sort Key], 0)), "")</f>
        <v>67</v>
      </c>
    </row>
    <row r="79" spans="5:11" ht="30" customHeight="1" x14ac:dyDescent="0.25">
      <c r="E79" s="9" t="str">
        <f>IFERROR(IF($K79 = "", "", IF(INDEX(tblDocuments[Link Out], $K79) = "", INDEX(tblDocuments[Display Name], $K79), HYPERLINK(INDEX(tblDocuments[Link Out], $K79), INDEX(tblDocuments[Display Name], $K79)))), "")</f>
        <v>Storage Policy Change Procedure</v>
      </c>
      <c r="F79" s="7" t="str">
        <f>IFERROR(IF($K79 = "", "", IF(TRIM(INDEX(tblDocuments[Document Type], $K79) &amp; "") = "", "—", TRIM(INDEX(tblDocuments[Document Type], $K79) &amp; ""))), "")</f>
        <v>SOP</v>
      </c>
      <c r="G79" s="7" t="str">
        <f>IFERROR(IF($K79 = "", "", INDEX(tblDocuments[Scope Group], $K79)), "")</f>
        <v>Storage</v>
      </c>
      <c r="H79" s="10" t="str">
        <f>IFERROR(IF($K79 = "", "", IF(TRIM(INDEX(tblDocuments[Description], $K79) &amp; "") = "", "—", IF(LEN(TRIM(INDEX(tblDocuments[Description], $K79) &amp; "")) &gt; 165, LEFT(TRIM(INDEX(tblDocuments[Description], $K79) &amp; ""), 164) &amp; "…", TRIM(INDEX(tblDocuments[Description], $K79) &amp; "")))), "")</f>
        <v>Procedure for changing a virtual machine storage policy including impact assessment and resync monitoring.</v>
      </c>
      <c r="K79" s="1">
        <f>IFERROR(IF(68 &gt; ResultCount, "", MATCH(LARGE(tblDocuments[Sort Key], 68), tblDocuments[Sort Key], 0)), "")</f>
        <v>68</v>
      </c>
    </row>
    <row r="80" spans="5:11" ht="30" customHeight="1" x14ac:dyDescent="0.25">
      <c r="E80" s="9" t="str">
        <f>IFERROR(IF($K80 = "", "", IF(INDEX(tblDocuments[Link Out], $K80) = "", INDEX(tblDocuments[Display Name], $K80), HYPERLINK(INDEX(tblDocuments[Link Out], $K80), INDEX(tblDocuments[Display Name], $K80)))), "")</f>
        <v>vSAN Utilisation and Growth Report</v>
      </c>
      <c r="F80" s="7" t="str">
        <f>IFERROR(IF($K80 = "", "", IF(TRIM(INDEX(tblDocuments[Document Type], $K80) &amp; "") = "", "—", TRIM(INDEX(tblDocuments[Document Type], $K80) &amp; ""))), "")</f>
        <v>Report</v>
      </c>
      <c r="G80" s="7" t="str">
        <f>IFERROR(IF($K80 = "", "", INDEX(tblDocuments[Scope Group], $K80)), "")</f>
        <v>Storage</v>
      </c>
      <c r="H80" s="10" t="str">
        <f>IFERROR(IF($K80 = "", "", IF(TRIM(INDEX(tblDocuments[Description], $K80) &amp; "") = "", "—", IF(LEN(TRIM(INDEX(tblDocuments[Description], $K80) &amp; "")) &gt; 165, LEFT(TRIM(INDEX(tblDocuments[Description], $K80) &amp; ""), 164) &amp; "…", TRIM(INDEX(tblDocuments[Description], $K80) &amp; "")))), "")</f>
        <v>Monthly vSAN utilisation, deduplication ratio and projected growth across all clusters.</v>
      </c>
      <c r="K80" s="1">
        <f>IFERROR(IF(69 &gt; ResultCount, "", MATCH(LARGE(tblDocuments[Sort Key], 69), tblDocuments[Sort Key], 0)), "")</f>
        <v>69</v>
      </c>
    </row>
    <row r="81" spans="5:11" ht="30" customHeight="1" x14ac:dyDescent="0.25">
      <c r="E81" s="9" t="str">
        <f>IFERROR(IF($K81 = "", "", IF(INDEX(tblDocuments[Link Out], $K81) = "", INDEX(tblDocuments[Display Name], $K81), HYPERLINK(INDEX(tblDocuments[Link Out], $K81), INDEX(tblDocuments[Display Name], $K81)))), "")</f>
        <v>Backup and Recovery High Level Design</v>
      </c>
      <c r="F81" s="7" t="str">
        <f>IFERROR(IF($K81 = "", "", IF(TRIM(INDEX(tblDocuments[Document Type], $K81) &amp; "") = "", "—", TRIM(INDEX(tblDocuments[Document Type], $K81) &amp; ""))), "")</f>
        <v>HLD</v>
      </c>
      <c r="G81" s="7" t="str">
        <f>IFERROR(IF($K81 = "", "", INDEX(tblDocuments[Scope Group], $K81)), "")</f>
        <v>Backup &amp; DR</v>
      </c>
      <c r="H81" s="10" t="str">
        <f>IFERROR(IF($K81 = "", "", IF(TRIM(INDEX(tblDocuments[Description], $K81) &amp; "") = "", "—", IF(LEN(TRIM(INDEX(tblDocuments[Description], $K81) &amp; "")) &gt; 165, LEFT(TRIM(INDEX(tblDocuments[Description], $K81) &amp; ""), 164) &amp; "…", TRIM(INDEX(tblDocuments[Description], $K81) &amp; "")))), "")</f>
        <v>High level design for backing up AVS workloads, retention tiers and the placement of backup infrastructure.</v>
      </c>
      <c r="K81" s="1">
        <f>IFERROR(IF(70 &gt; ResultCount, "", MATCH(LARGE(tblDocuments[Sort Key], 70), tblDocuments[Sort Key], 0)), "")</f>
        <v>70</v>
      </c>
    </row>
    <row r="82" spans="5:11" ht="30" customHeight="1" x14ac:dyDescent="0.25">
      <c r="E82" s="9" t="str">
        <f>IFERROR(IF($K82 = "", "", IF(INDEX(tblDocuments[Link Out], $K82) = "", INDEX(tblDocuments[Display Name], $K82), HYPERLINK(INDEX(tblDocuments[Link Out], $K82), INDEX(tblDocuments[Display Name], $K82)))), "")</f>
        <v>Veeam Backup Restore Runbook</v>
      </c>
      <c r="F82" s="7" t="str">
        <f>IFERROR(IF($K82 = "", "", IF(TRIM(INDEX(tblDocuments[Document Type], $K82) &amp; "") = "", "—", TRIM(INDEX(tblDocuments[Document Type], $K82) &amp; ""))), "")</f>
        <v>Runbook</v>
      </c>
      <c r="G82" s="7" t="str">
        <f>IFERROR(IF($K82 = "", "", INDEX(tblDocuments[Scope Group], $K82)), "")</f>
        <v>Backup &amp; DR</v>
      </c>
      <c r="H82" s="10" t="str">
        <f>IFERROR(IF($K82 = "", "", IF(TRIM(INDEX(tblDocuments[Description], $K82) &amp; "") = "", "—", IF(LEN(TRIM(INDEX(tblDocuments[Description], $K82) &amp; "")) &gt; 165, LEFT(TRIM(INDEX(tblDocuments[Description], $K82) &amp; ""), 164) &amp; "…", TRIM(INDEX(tblDocuments[Description], $K82) &amp; "")))), "")</f>
        <v>Runbook for performing file level, VM level and full application restores from Veeam backups.</v>
      </c>
      <c r="K82" s="1">
        <f>IFERROR(IF(71 &gt; ResultCount, "", MATCH(LARGE(tblDocuments[Sort Key], 71), tblDocuments[Sort Key], 0)), "")</f>
        <v>71</v>
      </c>
    </row>
    <row r="83" spans="5:11" ht="30" customHeight="1" x14ac:dyDescent="0.25">
      <c r="E83" s="9" t="str">
        <f>IFERROR(IF($K83 = "", "", IF(INDEX(tblDocuments[Link Out], $K83) = "", INDEX(tblDocuments[Display Name], $K83), HYPERLINK(INDEX(tblDocuments[Link Out], $K83), INDEX(tblDocuments[Display Name], $K83)))), "")</f>
        <v>Disaster Recovery Design for AVS</v>
      </c>
      <c r="F83" s="7" t="str">
        <f>IFERROR(IF($K83 = "", "", IF(TRIM(INDEX(tblDocuments[Document Type], $K83) &amp; "") = "", "—", TRIM(INDEX(tblDocuments[Document Type], $K83) &amp; ""))), "")</f>
        <v>HLD</v>
      </c>
      <c r="G83" s="7" t="str">
        <f>IFERROR(IF($K83 = "", "", INDEX(tblDocuments[Scope Group], $K83)), "")</f>
        <v>Backup &amp; DR</v>
      </c>
      <c r="H83" s="10" t="str">
        <f>IFERROR(IF($K83 = "", "", IF(TRIM(INDEX(tblDocuments[Description], $K83) &amp; "") = "", "—", IF(LEN(TRIM(INDEX(tblDocuments[Description], $K83) &amp; "")) &gt; 165, LEFT(TRIM(INDEX(tblDocuments[Description], $K83) &amp; ""), 164) &amp; "…", TRIM(INDEX(tblDocuments[Description], $K83) &amp; "")))), "")</f>
        <v>DR design covering the protected estate, recovery site, RPO and RTO commitments and orchestration tooling.</v>
      </c>
      <c r="K83" s="1">
        <f>IFERROR(IF(72 &gt; ResultCount, "", MATCH(LARGE(tblDocuments[Sort Key], 72), tblDocuments[Sort Key], 0)), "")</f>
        <v>72</v>
      </c>
    </row>
    <row r="84" spans="5:11" ht="30" customHeight="1" x14ac:dyDescent="0.25">
      <c r="E84" s="9" t="str">
        <f>IFERROR(IF($K84 = "", "", IF(INDEX(tblDocuments[Link Out], $K84) = "", INDEX(tblDocuments[Display Name], $K84), HYPERLINK(INDEX(tblDocuments[Link Out], $K84), INDEX(tblDocuments[Display Name], $K84)))), "")</f>
        <v>DR Failover and Failback Runbook</v>
      </c>
      <c r="F84" s="7" t="str">
        <f>IFERROR(IF($K84 = "", "", IF(TRIM(INDEX(tblDocuments[Document Type], $K84) &amp; "") = "", "—", TRIM(INDEX(tblDocuments[Document Type], $K84) &amp; ""))), "")</f>
        <v>Runbook</v>
      </c>
      <c r="G84" s="7" t="str">
        <f>IFERROR(IF($K84 = "", "", INDEX(tblDocuments[Scope Group], $K84)), "")</f>
        <v>Backup &amp; DR</v>
      </c>
      <c r="H84" s="10" t="str">
        <f>IFERROR(IF($K84 = "", "", IF(TRIM(INDEX(tblDocuments[Description], $K84) &amp; "") = "", "—", IF(LEN(TRIM(INDEX(tblDocuments[Description], $K84) &amp; "")) &gt; 165, LEFT(TRIM(INDEX(tblDocuments[Description], $K84) &amp; ""), 164) &amp; "…", TRIM(INDEX(tblDocuments[Description], $K84) &amp; "")))), "")</f>
        <v>Runbook for declaring a disaster, executing failover to the recovery region and subsequently failing back.</v>
      </c>
      <c r="K84" s="1">
        <f>IFERROR(IF(73 &gt; ResultCount, "", MATCH(LARGE(tblDocuments[Sort Key], 73), tblDocuments[Sort Key], 0)), "")</f>
        <v>73</v>
      </c>
    </row>
    <row r="85" spans="5:11" ht="30" customHeight="1" x14ac:dyDescent="0.25">
      <c r="E85" s="9" t="str">
        <f>IFERROR(IF($K85 = "", "", IF(INDEX(tblDocuments[Link Out], $K85) = "", INDEX(tblDocuments[Display Name], $K85), HYPERLINK(INDEX(tblDocuments[Link Out], $K85), INDEX(tblDocuments[Display Name], $K85)))), "")</f>
        <v>VMware Site Recovery Manager Configuration</v>
      </c>
      <c r="F85" s="7" t="str">
        <f>IFERROR(IF($K85 = "", "", IF(TRIM(INDEX(tblDocuments[Document Type], $K85) &amp; "") = "", "—", TRIM(INDEX(tblDocuments[Document Type], $K85) &amp; ""))), "")</f>
        <v>Guide</v>
      </c>
      <c r="G85" s="7" t="str">
        <f>IFERROR(IF($K85 = "", "", INDEX(tblDocuments[Scope Group], $K85)), "")</f>
        <v>Backup &amp; DR</v>
      </c>
      <c r="H85" s="10" t="str">
        <f>IFERROR(IF($K85 = "", "", IF(TRIM(INDEX(tblDocuments[Description], $K85) &amp; "") = "", "—", IF(LEN(TRIM(INDEX(tblDocuments[Description], $K85) &amp; "")) &gt; 165, LEFT(TRIM(INDEX(tblDocuments[Description], $K85) &amp; ""), 164) &amp; "…", TRIM(INDEX(tblDocuments[Description], $K85) &amp; "")))), "")</f>
        <v>Configuration guide for SRM protection groups, recovery plans and replication settings used in the DR solution.</v>
      </c>
      <c r="K85" s="1">
        <f>IFERROR(IF(74 &gt; ResultCount, "", MATCH(LARGE(tblDocuments[Sort Key], 74), tblDocuments[Sort Key], 0)), "")</f>
        <v>74</v>
      </c>
    </row>
    <row r="86" spans="5:11" ht="30" customHeight="1" x14ac:dyDescent="0.25">
      <c r="E86" s="9" t="str">
        <f>IFERROR(IF($K86 = "", "", IF(INDEX(tblDocuments[Link Out], $K86) = "", INDEX(tblDocuments[Display Name], $K86), HYPERLINK(INDEX(tblDocuments[Link Out], $K86), INDEX(tblDocuments[Display Name], $K86)))), "")</f>
        <v>Annual DR Test Report</v>
      </c>
      <c r="F86" s="7" t="str">
        <f>IFERROR(IF($K86 = "", "", IF(TRIM(INDEX(tblDocuments[Document Type], $K86) &amp; "") = "", "—", TRIM(INDEX(tblDocuments[Document Type], $K86) &amp; ""))), "")</f>
        <v>Report</v>
      </c>
      <c r="G86" s="7" t="str">
        <f>IFERROR(IF($K86 = "", "", INDEX(tblDocuments[Scope Group], $K86)), "")</f>
        <v>Backup &amp; DR</v>
      </c>
      <c r="H86" s="10" t="str">
        <f>IFERROR(IF($K86 = "", "", IF(TRIM(INDEX(tblDocuments[Description], $K86) &amp; "") = "", "—", IF(LEN(TRIM(INDEX(tblDocuments[Description], $K86) &amp; "")) &gt; 165, LEFT(TRIM(INDEX(tblDocuments[Description], $K86) &amp; ""), 164) &amp; "…", TRIM(INDEX(tblDocuments[Description], $K86) &amp; "")))), "")</f>
        <v>Results of the annual disaster recovery test including achieved RTO, issues encountered and remediation actions.</v>
      </c>
      <c r="K86" s="1">
        <f>IFERROR(IF(75 &gt; ResultCount, "", MATCH(LARGE(tblDocuments[Sort Key], 75), tblDocuments[Sort Key], 0)), "")</f>
        <v>75</v>
      </c>
    </row>
    <row r="87" spans="5:11" ht="30" customHeight="1" x14ac:dyDescent="0.25">
      <c r="E87" s="9" t="str">
        <f>IFERROR(IF($K87 = "", "", IF(INDEX(tblDocuments[Link Out], $K87) = "", INDEX(tblDocuments[Display Name], $K87), HYPERLINK(INDEX(tblDocuments[Link Out], $K87), INDEX(tblDocuments[Display Name], $K87)))), "")</f>
        <v>DR Invocation Checklist</v>
      </c>
      <c r="F87" s="7" t="str">
        <f>IFERROR(IF($K87 = "", "", IF(TRIM(INDEX(tblDocuments[Document Type], $K87) &amp; "") = "", "—", TRIM(INDEX(tblDocuments[Document Type], $K87) &amp; ""))), "")</f>
        <v>Checklist</v>
      </c>
      <c r="G87" s="7" t="str">
        <f>IFERROR(IF($K87 = "", "", INDEX(tblDocuments[Scope Group], $K87)), "")</f>
        <v>Backup &amp; DR</v>
      </c>
      <c r="H87" s="10" t="str">
        <f>IFERROR(IF($K87 = "", "", IF(TRIM(INDEX(tblDocuments[Description], $K87) &amp; "") = "", "—", IF(LEN(TRIM(INDEX(tblDocuments[Description], $K87) &amp; "")) &gt; 165, LEFT(TRIM(INDEX(tblDocuments[Description], $K87) &amp; ""), 164) &amp; "…", TRIM(INDEX(tblDocuments[Description], $K87) &amp; "")))), "")</f>
        <v>Checklist used by the incident commander when invoking disaster recovery for the AVS estate.</v>
      </c>
      <c r="K87" s="1">
        <f>IFERROR(IF(76 &gt; ResultCount, "", MATCH(LARGE(tblDocuments[Sort Key], 76), tblDocuments[Sort Key], 0)), "")</f>
        <v>76</v>
      </c>
    </row>
    <row r="88" spans="5:11" ht="30" customHeight="1" x14ac:dyDescent="0.25">
      <c r="E88" s="9" t="str">
        <f>IFERROR(IF($K88 = "", "", IF(INDEX(tblDocuments[Link Out], $K88) = "", INDEX(tblDocuments[Display Name], $K88), HYPERLINK(INDEX(tblDocuments[Link Out], $K88), INDEX(tblDocuments[Display Name], $K88)))), "")</f>
        <v>Backup Retention and Restore Testing Policy</v>
      </c>
      <c r="F88" s="7" t="str">
        <f>IFERROR(IF($K88 = "", "", IF(TRIM(INDEX(tblDocuments[Document Type], $K88) &amp; "") = "", "—", TRIM(INDEX(tblDocuments[Document Type], $K88) &amp; ""))), "")</f>
        <v>Policy</v>
      </c>
      <c r="G88" s="7" t="str">
        <f>IFERROR(IF($K88 = "", "", INDEX(tblDocuments[Scope Group], $K88)), "")</f>
        <v>Backup &amp; DR</v>
      </c>
      <c r="H88" s="10" t="str">
        <f>IFERROR(IF($K88 = "", "", IF(TRIM(INDEX(tblDocuments[Description], $K88) &amp; "") = "", "—", IF(LEN(TRIM(INDEX(tblDocuments[Description], $K88) &amp; "")) &gt; 165, LEFT(TRIM(INDEX(tblDocuments[Description], $K88) &amp; ""), 164) &amp; "…", TRIM(INDEX(tblDocuments[Description], $K88) &amp; "")))), "")</f>
        <v>Policy defining backup retention periods by data classification and the mandatory restore testing cadence.</v>
      </c>
      <c r="K88" s="1">
        <f>IFERROR(IF(77 &gt; ResultCount, "", MATCH(LARGE(tblDocuments[Sort Key], 77), tblDocuments[Sort Key], 0)), "")</f>
        <v>77</v>
      </c>
    </row>
    <row r="89" spans="5:11" ht="30" customHeight="1" x14ac:dyDescent="0.25">
      <c r="E89" s="9" t="str">
        <f>IFERROR(IF($K89 = "", "", IF(INDEX(tblDocuments[Link Out], $K89) = "", INDEX(tblDocuments[Display Name], $K89), HYPERLINK(INDEX(tblDocuments[Link Out], $K89), INDEX(tblDocuments[Display Name], $K89)))), "")</f>
        <v>Azure Site Recovery for AVS Workloads</v>
      </c>
      <c r="F89" s="7" t="str">
        <f>IFERROR(IF($K89 = "", "", IF(TRIM(INDEX(tblDocuments[Document Type], $K89) &amp; "") = "", "—", TRIM(INDEX(tblDocuments[Document Type], $K89) &amp; ""))), "")</f>
        <v>Guide</v>
      </c>
      <c r="G89" s="7" t="str">
        <f>IFERROR(IF($K89 = "", "", INDEX(tblDocuments[Scope Group], $K89)), "")</f>
        <v>Backup &amp; DR</v>
      </c>
      <c r="H89" s="10" t="str">
        <f>IFERROR(IF($K89 = "", "", IF(TRIM(INDEX(tblDocuments[Description], $K89) &amp; "") = "", "—", IF(LEN(TRIM(INDEX(tblDocuments[Description], $K89) &amp; "")) &gt; 165, LEFT(TRIM(INDEX(tblDocuments[Description], $K89) &amp; ""), 164) &amp; "…", TRIM(INDEX(tblDocuments[Description], $K89) &amp; "")))), "")</f>
        <v>Using Azure Site Recovery to protect AVS hosted workloads into an Azure native recovery target.</v>
      </c>
      <c r="K89" s="1">
        <f>IFERROR(IF(78 &gt; ResultCount, "", MATCH(LARGE(tblDocuments[Sort Key], 78), tblDocuments[Sort Key], 0)), "")</f>
        <v>78</v>
      </c>
    </row>
    <row r="90" spans="5:11" ht="30" customHeight="1" x14ac:dyDescent="0.25">
      <c r="E90" s="9" t="str">
        <f>IFERROR(IF($K90 = "", "", IF(INDEX(tblDocuments[Link Out], $K90) = "", INDEX(tblDocuments[Display Name], $K90), HYPERLINK(INDEX(tblDocuments[Link Out], $K90), INDEX(tblDocuments[Display Name], $K90)))), "")</f>
        <v>vCenter Identity Source Configuration</v>
      </c>
      <c r="F90" s="7" t="str">
        <f>IFERROR(IF($K90 = "", "", IF(TRIM(INDEX(tblDocuments[Document Type], $K90) &amp; "") = "", "—", TRIM(INDEX(tblDocuments[Document Type], $K90) &amp; ""))), "")</f>
        <v>Guide</v>
      </c>
      <c r="G90" s="7" t="str">
        <f>IFERROR(IF($K90 = "", "", INDEX(tblDocuments[Scope Group], $K90)), "")</f>
        <v>Identity</v>
      </c>
      <c r="H90" s="10" t="str">
        <f>IFERROR(IF($K90 = "", "", IF(TRIM(INDEX(tblDocuments[Description], $K90) &amp; "") = "", "—", IF(LEN(TRIM(INDEX(tblDocuments[Description], $K90) &amp; "")) &gt; 165, LEFT(TRIM(INDEX(tblDocuments[Description], $K90) &amp; ""), 164) &amp; "…", TRIM(INDEX(tblDocuments[Description], $K90) &amp; "")))), "")</f>
        <v>Configuring external identity sources for vCenter single sign on, including LDAPS to corporate directories.</v>
      </c>
      <c r="K90" s="1">
        <f>IFERROR(IF(79 &gt; ResultCount, "", MATCH(LARGE(tblDocuments[Sort Key], 79), tblDocuments[Sort Key], 0)), "")</f>
        <v>79</v>
      </c>
    </row>
    <row r="91" spans="5:11" ht="30" customHeight="1" x14ac:dyDescent="0.25">
      <c r="E91" s="9" t="str">
        <f>IFERROR(IF($K91 = "", "", IF(INDEX(tblDocuments[Link Out], $K91) = "", INDEX(tblDocuments[Display Name], $K91), HYPERLINK(INDEX(tblDocuments[Link Out], $K91), INDEX(tblDocuments[Display Name], $K91)))), "")</f>
        <v>Entra ID Integration Architecture</v>
      </c>
      <c r="F91" s="7" t="str">
        <f>IFERROR(IF($K91 = "", "", IF(TRIM(INDEX(tblDocuments[Document Type], $K91) &amp; "") = "", "—", TRIM(INDEX(tblDocuments[Document Type], $K91) &amp; ""))), "")</f>
        <v>Architecture</v>
      </c>
      <c r="G91" s="7" t="str">
        <f>IFERROR(IF($K91 = "", "", INDEX(tblDocuments[Scope Group], $K91)), "")</f>
        <v>Identity</v>
      </c>
      <c r="H91" s="10" t="str">
        <f>IFERROR(IF($K91 = "", "", IF(TRIM(INDEX(tblDocuments[Description], $K91) &amp; "") = "", "—", IF(LEN(TRIM(INDEX(tblDocuments[Description], $K91) &amp; "")) &gt; 165, LEFT(TRIM(INDEX(tblDocuments[Description], $K91) &amp; ""), 164) &amp; "…", TRIM(INDEX(tblDocuments[Description], $K91) &amp; "")))), "")</f>
        <v>How Microsoft Entra ID, Entra Domain Services and vCenter SSO integrate to provide identity for the AVS estate.</v>
      </c>
      <c r="K91" s="1">
        <f>IFERROR(IF(80 &gt; ResultCount, "", MATCH(LARGE(tblDocuments[Sort Key], 80), tblDocuments[Sort Key], 0)), "")</f>
        <v>80</v>
      </c>
    </row>
    <row r="92" spans="5:11" ht="30" customHeight="1" x14ac:dyDescent="0.25">
      <c r="E92" s="9" t="str">
        <f>IFERROR(IF($K92 = "", "", IF(INDEX(tblDocuments[Link Out], $K92) = "", INDEX(tblDocuments[Display Name], $K92), HYPERLINK(INDEX(tblDocuments[Link Out], $K92), INDEX(tblDocuments[Display Name], $K92)))), "")</f>
        <v>Role Based Access Control Model</v>
      </c>
      <c r="F92" s="7" t="str">
        <f>IFERROR(IF($K92 = "", "", IF(TRIM(INDEX(tblDocuments[Document Type], $K92) &amp; "") = "", "—", TRIM(INDEX(tblDocuments[Document Type], $K92) &amp; ""))), "")</f>
        <v>Policy</v>
      </c>
      <c r="G92" s="7" t="str">
        <f>IFERROR(IF($K92 = "", "", INDEX(tblDocuments[Scope Group], $K92)), "")</f>
        <v>Identity</v>
      </c>
      <c r="H92" s="10" t="str">
        <f>IFERROR(IF($K92 = "", "", IF(TRIM(INDEX(tblDocuments[Description], $K92) &amp; "") = "", "—", IF(LEN(TRIM(INDEX(tblDocuments[Description], $K92) &amp; "")) &gt; 165, LEFT(TRIM(INDEX(tblDocuments[Description], $K92) &amp; ""), 164) &amp; "…", TRIM(INDEX(tblDocuments[Description], $K92) &amp; "")))), "")</f>
        <v>RBAC model defining roles, permissions and separation of duties across vCenter, NSX-T and the Azure control plane.</v>
      </c>
      <c r="K92" s="1">
        <f>IFERROR(IF(81 &gt; ResultCount, "", MATCH(LARGE(tblDocuments[Sort Key], 81), tblDocuments[Sort Key], 0)), "")</f>
        <v>81</v>
      </c>
    </row>
    <row r="93" spans="5:11" ht="30" customHeight="1" x14ac:dyDescent="0.25">
      <c r="E93" s="9" t="str">
        <f>IFERROR(IF($K93 = "", "", IF(INDEX(tblDocuments[Link Out], $K93) = "", INDEX(tblDocuments[Display Name], $K93), HYPERLINK(INDEX(tblDocuments[Link Out], $K93), INDEX(tblDocuments[Display Name], $K93)))), "")</f>
        <v>CloudAdmin Account Management Procedure</v>
      </c>
      <c r="F93" s="7" t="str">
        <f>IFERROR(IF($K93 = "", "", IF(TRIM(INDEX(tblDocuments[Document Type], $K93) &amp; "") = "", "—", TRIM(INDEX(tblDocuments[Document Type], $K93) &amp; ""))), "")</f>
        <v>SOP</v>
      </c>
      <c r="G93" s="7" t="str">
        <f>IFERROR(IF($K93 = "", "", INDEX(tblDocuments[Scope Group], $K93)), "")</f>
        <v>Identity</v>
      </c>
      <c r="H93" s="10" t="str">
        <f>IFERROR(IF($K93 = "", "", IF(TRIM(INDEX(tblDocuments[Description], $K93) &amp; "") = "", "—", IF(LEN(TRIM(INDEX(tblDocuments[Description], $K93) &amp; "")) &gt; 165, LEFT(TRIM(INDEX(tblDocuments[Description], $K93) &amp; ""), 164) &amp; "…", TRIM(INDEX(tblDocuments[Description], $K93) &amp; "")))), "")</f>
        <v>Procedure for managing the built-in cloudadmin account, rotating credentials and delegating permissions.</v>
      </c>
      <c r="K93" s="1">
        <f>IFERROR(IF(82 &gt; ResultCount, "", MATCH(LARGE(tblDocuments[Sort Key], 82), tblDocuments[Sort Key], 0)), "")</f>
        <v>82</v>
      </c>
    </row>
    <row r="94" spans="5:11" ht="30" customHeight="1" x14ac:dyDescent="0.25">
      <c r="E94" s="9" t="str">
        <f>IFERROR(IF($K94 = "", "", IF(INDEX(tblDocuments[Link Out], $K94) = "", INDEX(tblDocuments[Display Name], $K94), HYPERLINK(INDEX(tblDocuments[Link Out], $K94), INDEX(tblDocuments[Display Name], $K94)))), "")</f>
        <v>Multi Factor Authentication Rollout Guide</v>
      </c>
      <c r="F94" s="7" t="str">
        <f>IFERROR(IF($K94 = "", "", IF(TRIM(INDEX(tblDocuments[Document Type], $K94) &amp; "") = "", "—", TRIM(INDEX(tblDocuments[Document Type], $K94) &amp; ""))), "")</f>
        <v>Guide</v>
      </c>
      <c r="G94" s="7" t="str">
        <f>IFERROR(IF($K94 = "", "", INDEX(tblDocuments[Scope Group], $K94)), "")</f>
        <v>Identity</v>
      </c>
      <c r="H94" s="10" t="str">
        <f>IFERROR(IF($K94 = "", "", IF(TRIM(INDEX(tblDocuments[Description], $K94) &amp; "") = "", "—", IF(LEN(TRIM(INDEX(tblDocuments[Description], $K94) &amp; "")) &gt; 165, LEFT(TRIM(INDEX(tblDocuments[Description], $K94) &amp; ""), 164) &amp; "…", TRIM(INDEX(tblDocuments[Description], $K94) &amp; "")))), "")</f>
        <v>Rollout guide for enforcing MFA on all administrative access paths into the AVS platform.</v>
      </c>
      <c r="K94" s="1">
        <f>IFERROR(IF(83 &gt; ResultCount, "", MATCH(LARGE(tblDocuments[Sort Key], 83), tblDocuments[Sort Key], 0)), "")</f>
        <v>83</v>
      </c>
    </row>
    <row r="95" spans="5:11" ht="30" customHeight="1" x14ac:dyDescent="0.25">
      <c r="E95" s="9" t="str">
        <f>IFERROR(IF($K95 = "", "", IF(INDEX(tblDocuments[Link Out], $K95) = "", INDEX(tblDocuments[Display Name], $K95), HYPERLINK(INDEX(tblDocuments[Link Out], $K95), INDEX(tblDocuments[Display Name], $K95)))), "")</f>
        <v>Joiner Mover Leaver Checklist for Platform Access</v>
      </c>
      <c r="F95" s="7" t="str">
        <f>IFERROR(IF($K95 = "", "", IF(TRIM(INDEX(tblDocuments[Document Type], $K95) &amp; "") = "", "—", TRIM(INDEX(tblDocuments[Document Type], $K95) &amp; ""))), "")</f>
        <v>Checklist</v>
      </c>
      <c r="G95" s="7" t="str">
        <f>IFERROR(IF($K95 = "", "", INDEX(tblDocuments[Scope Group], $K95)), "")</f>
        <v>Identity</v>
      </c>
      <c r="H95" s="10" t="str">
        <f>IFERROR(IF($K95 = "", "", IF(TRIM(INDEX(tblDocuments[Description], $K95) &amp; "") = "", "—", IF(LEN(TRIM(INDEX(tblDocuments[Description], $K95) &amp; "")) &gt; 165, LEFT(TRIM(INDEX(tblDocuments[Description], $K95) &amp; ""), 164) &amp; "…", TRIM(INDEX(tblDocuments[Description], $K95) &amp; "")))), "")</f>
        <v>Access provisioning and revocation checklist for staff joining, moving within or leaving the platform team.</v>
      </c>
      <c r="K95" s="1">
        <f>IFERROR(IF(84 &gt; ResultCount, "", MATCH(LARGE(tblDocuments[Sort Key], 84), tblDocuments[Sort Key], 0)), "")</f>
        <v>84</v>
      </c>
    </row>
    <row r="96" spans="5:11" ht="30" customHeight="1" x14ac:dyDescent="0.25">
      <c r="E96" s="9" t="str">
        <f>IFERROR(IF($K96 = "", "", IF(INDEX(tblDocuments[Link Out], $K96) = "", INDEX(tblDocuments[Display Name], $K96), HYPERLINK(INDEX(tblDocuments[Link Out], $K96), INDEX(tblDocuments[Display Name], $K96)))), "")</f>
        <v>AVS Governance Framework</v>
      </c>
      <c r="F96" s="7" t="str">
        <f>IFERROR(IF($K96 = "", "", IF(TRIM(INDEX(tblDocuments[Document Type], $K96) &amp; "") = "", "—", TRIM(INDEX(tblDocuments[Document Type], $K96) &amp; ""))), "")</f>
        <v>Policy</v>
      </c>
      <c r="G96" s="7" t="str">
        <f>IFERROR(IF($K96 = "", "", INDEX(tblDocuments[Scope Group], $K96)), "")</f>
        <v>Governance</v>
      </c>
      <c r="H96" s="10" t="str">
        <f>IFERROR(IF($K96 = "", "", IF(TRIM(INDEX(tblDocuments[Description], $K96) &amp; "") = "", "—", IF(LEN(TRIM(INDEX(tblDocuments[Description], $K96) &amp; "")) &gt; 165, LEFT(TRIM(INDEX(tblDocuments[Description], $K96) &amp; ""), 164) &amp; "…", TRIM(INDEX(tblDocuments[Description], $K96) &amp; "")))), "")</f>
        <v>Governance framework describing the operating model, decision forums, RACI and policy hierarchy for AVS.</v>
      </c>
      <c r="K96" s="1">
        <f>IFERROR(IF(85 &gt; ResultCount, "", MATCH(LARGE(tblDocuments[Sort Key], 85), tblDocuments[Sort Key], 0)), "")</f>
        <v>85</v>
      </c>
    </row>
    <row r="97" spans="5:11" ht="30" customHeight="1" x14ac:dyDescent="0.25">
      <c r="E97" s="9" t="str">
        <f>IFERROR(IF($K97 = "", "", IF(INDEX(tblDocuments[Link Out], $K97) = "", INDEX(tblDocuments[Display Name], $K97), HYPERLINK(INDEX(tblDocuments[Link Out], $K97), INDEX(tblDocuments[Display Name], $K97)))), "")</f>
        <v>Azure Policy and Compliance Guardrails</v>
      </c>
      <c r="F97" s="7" t="str">
        <f>IFERROR(IF($K97 = "", "", IF(TRIM(INDEX(tblDocuments[Document Type], $K97) &amp; "") = "", "—", TRIM(INDEX(tblDocuments[Document Type], $K97) &amp; ""))), "")</f>
        <v>Guide</v>
      </c>
      <c r="G97" s="7" t="str">
        <f>IFERROR(IF($K97 = "", "", INDEX(tblDocuments[Scope Group], $K97)), "")</f>
        <v>Governance</v>
      </c>
      <c r="H97" s="10" t="str">
        <f>IFERROR(IF($K97 = "", "", IF(TRIM(INDEX(tblDocuments[Description], $K97) &amp; "") = "", "—", IF(LEN(TRIM(INDEX(tblDocuments[Description], $K97) &amp; "")) &gt; 165, LEFT(TRIM(INDEX(tblDocuments[Description], $K97) &amp; ""), 164) &amp; "…", TRIM(INDEX(tblDocuments[Description], $K97) &amp; "")))), "")</f>
        <v>Guardrails applied through Azure Policy to the subscriptions hosting AVS and how exemptions are approved.</v>
      </c>
      <c r="K97" s="1">
        <f>IFERROR(IF(86 &gt; ResultCount, "", MATCH(LARGE(tblDocuments[Sort Key], 86), tblDocuments[Sort Key], 0)), "")</f>
        <v>86</v>
      </c>
    </row>
    <row r="98" spans="5:11" ht="30" customHeight="1" x14ac:dyDescent="0.25">
      <c r="E98" s="9" t="str">
        <f>IFERROR(IF($K98 = "", "", IF(INDEX(tblDocuments[Link Out], $K98) = "", INDEX(tblDocuments[Display Name], $K98), HYPERLINK(INDEX(tblDocuments[Link Out], $K98), INDEX(tblDocuments[Display Name], $K98)))), "")</f>
        <v>Quarterly Compliance Attestation Report</v>
      </c>
      <c r="F98" s="7" t="str">
        <f>IFERROR(IF($K98 = "", "", IF(TRIM(INDEX(tblDocuments[Document Type], $K98) &amp; "") = "", "—", TRIM(INDEX(tblDocuments[Document Type], $K98) &amp; ""))), "")</f>
        <v>Report</v>
      </c>
      <c r="G98" s="7" t="str">
        <f>IFERROR(IF($K98 = "", "", INDEX(tblDocuments[Scope Group], $K98)), "")</f>
        <v>Governance</v>
      </c>
      <c r="H98" s="10" t="str">
        <f>IFERROR(IF($K98 = "", "", IF(TRIM(INDEX(tblDocuments[Description], $K98) &amp; "") = "", "—", IF(LEN(TRIM(INDEX(tblDocuments[Description], $K98) &amp; "")) &gt; 165, LEFT(TRIM(INDEX(tblDocuments[Description], $K98) &amp; ""), 164) &amp; "…", TRIM(INDEX(tblDocuments[Description], $K98) &amp; "")))), "")</f>
        <v>Quarterly attestation evidencing control effectiveness for the AVS platform against the internal control set.</v>
      </c>
      <c r="K98" s="1">
        <f>IFERROR(IF(87 &gt; ResultCount, "", MATCH(LARGE(tblDocuments[Sort Key], 87), tblDocuments[Sort Key], 0)), "")</f>
        <v>87</v>
      </c>
    </row>
    <row r="99" spans="5:11" ht="30" customHeight="1" x14ac:dyDescent="0.25">
      <c r="E99" s="9" t="str">
        <f>IFERROR(IF($K99 = "", "", IF(INDEX(tblDocuments[Link Out], $K99) = "", INDEX(tblDocuments[Display Name], $K99), HYPERLINK(INDEX(tblDocuments[Link Out], $K99), INDEX(tblDocuments[Display Name], $K99)))), "")</f>
        <v>Data Residency and Sovereignty Standard</v>
      </c>
      <c r="F99" s="7" t="str">
        <f>IFERROR(IF($K99 = "", "", IF(TRIM(INDEX(tblDocuments[Document Type], $K99) &amp; "") = "", "—", TRIM(INDEX(tblDocuments[Document Type], $K99) &amp; ""))), "")</f>
        <v>Policy</v>
      </c>
      <c r="G99" s="7" t="str">
        <f>IFERROR(IF($K99 = "", "", INDEX(tblDocuments[Scope Group], $K99)), "")</f>
        <v>Governance</v>
      </c>
      <c r="H99" s="10" t="str">
        <f>IFERROR(IF($K99 = "", "", IF(TRIM(INDEX(tblDocuments[Description], $K99) &amp; "") = "", "—", IF(LEN(TRIM(INDEX(tblDocuments[Description], $K99) &amp; "")) &gt; 165, LEFT(TRIM(INDEX(tblDocuments[Description], $K99) &amp; ""), 164) &amp; "…", TRIM(INDEX(tblDocuments[Description], $K99) &amp; "")))), "")</f>
        <v>Standard defining permitted regions for AVS workloads based on data classification and residency requirements.</v>
      </c>
      <c r="K99" s="1">
        <f>IFERROR(IF(88 &gt; ResultCount, "", MATCH(LARGE(tblDocuments[Sort Key], 88), tblDocuments[Sort Key], 0)), "")</f>
        <v>88</v>
      </c>
    </row>
    <row r="100" spans="5:11" ht="30" customHeight="1" x14ac:dyDescent="0.25">
      <c r="E100" s="9" t="str">
        <f>IFERROR(IF($K100 = "", "", IF(INDEX(tblDocuments[Link Out], $K100) = "", INDEX(tblDocuments[Display Name], $K100), HYPERLINK(INDEX(tblDocuments[Link Out], $K100), INDEX(tblDocuments[Display Name], $K100)))), "")</f>
        <v>Risk and Issue Register Template</v>
      </c>
      <c r="F100" s="7" t="str">
        <f>IFERROR(IF($K100 = "", "", IF(TRIM(INDEX(tblDocuments[Document Type], $K100) &amp; "") = "", "—", TRIM(INDEX(tblDocuments[Document Type], $K100) &amp; ""))), "")</f>
        <v>Template</v>
      </c>
      <c r="G100" s="7" t="str">
        <f>IFERROR(IF($K100 = "", "", INDEX(tblDocuments[Scope Group], $K100)), "")</f>
        <v>Governance</v>
      </c>
      <c r="H100" s="10" t="str">
        <f>IFERROR(IF($K100 = "", "", IF(TRIM(INDEX(tblDocuments[Description], $K100) &amp; "") = "", "—", IF(LEN(TRIM(INDEX(tblDocuments[Description], $K100) &amp; "")) &gt; 165, LEFT(TRIM(INDEX(tblDocuments[Description], $K100) &amp; ""), 164) &amp; "…", TRIM(INDEX(tblDocuments[Description], $K100) &amp; "")))), "")</f>
        <v>Template for the programme risk and issue register including scoring matrix and escalation thresholds.</v>
      </c>
      <c r="K100" s="1">
        <f>IFERROR(IF(89 &gt; ResultCount, "", MATCH(LARGE(tblDocuments[Sort Key], 89), tblDocuments[Sort Key], 0)), "")</f>
        <v>89</v>
      </c>
    </row>
    <row r="101" spans="5:11" ht="30" customHeight="1" x14ac:dyDescent="0.25">
      <c r="E101" s="9" t="str">
        <f>IFERROR(IF($K101 = "", "", IF(INDEX(tblDocuments[Link Out], $K101) = "", INDEX(tblDocuments[Display Name], $K101), HYPERLINK(INDEX(tblDocuments[Link Out], $K101), INDEX(tblDocuments[Display Name], $K101)))), "")</f>
        <v>Regulatory Impact Assessment for AVS</v>
      </c>
      <c r="F101" s="7" t="str">
        <f>IFERROR(IF($K101 = "", "", IF(TRIM(INDEX(tblDocuments[Document Type], $K101) &amp; "") = "", "—", TRIM(INDEX(tblDocuments[Document Type], $K101) &amp; ""))), "")</f>
        <v>Assessment</v>
      </c>
      <c r="G101" s="7" t="str">
        <f>IFERROR(IF($K101 = "", "", INDEX(tblDocuments[Scope Group], $K101)), "")</f>
        <v>Governance</v>
      </c>
      <c r="H101" s="10" t="str">
        <f>IFERROR(IF($K101 = "", "", IF(TRIM(INDEX(tblDocuments[Description], $K101) &amp; "") = "", "—", IF(LEN(TRIM(INDEX(tblDocuments[Description], $K101) &amp; "")) &gt; 165, LEFT(TRIM(INDEX(tblDocuments[Description], $K101) &amp; ""), 164) &amp; "…", TRIM(INDEX(tblDocuments[Description], $K101) &amp; "")))), "")</f>
        <v>Assessment of regulatory obligations applicable to workloads being moved into Azure VMware Solution.</v>
      </c>
      <c r="K101" s="1">
        <f>IFERROR(IF(90 &gt; ResultCount, "", MATCH(LARGE(tblDocuments[Sort Key], 90), tblDocuments[Sort Key], 0)), "")</f>
        <v>90</v>
      </c>
    </row>
    <row r="102" spans="5:11" ht="30" customHeight="1" x14ac:dyDescent="0.25">
      <c r="E102" s="9" t="str">
        <f>IFERROR(IF($K102 = "", "", IF(INDEX(tblDocuments[Link Out], $K102) = "", INDEX(tblDocuments[Display Name], $K102), HYPERLINK(INDEX(tblDocuments[Link Out], $K102), INDEX(tblDocuments[Display Name], $K102)))), "")</f>
        <v>Design Authority Submission Procedure</v>
      </c>
      <c r="F102" s="7" t="str">
        <f>IFERROR(IF($K102 = "", "", IF(TRIM(INDEX(tblDocuments[Document Type], $K102) &amp; "") = "", "—", TRIM(INDEX(tblDocuments[Document Type], $K102) &amp; ""))), "")</f>
        <v>SOP</v>
      </c>
      <c r="G102" s="7" t="str">
        <f>IFERROR(IF($K102 = "", "", INDEX(tblDocuments[Scope Group], $K102)), "")</f>
        <v>Governance</v>
      </c>
      <c r="H102" s="10" t="str">
        <f>IFERROR(IF($K102 = "", "", IF(TRIM(INDEX(tblDocuments[Description], $K102) &amp; "") = "", "—", IF(LEN(TRIM(INDEX(tblDocuments[Description], $K102) &amp; "")) &gt; 165, LEFT(TRIM(INDEX(tblDocuments[Description], $K102) &amp; ""), 164) &amp; "…", TRIM(INDEX(tblDocuments[Description], $K102) &amp; "")))), "")</f>
        <v>How to prepare and submit a design for review at the AVS design authority, including required artefacts.</v>
      </c>
      <c r="K102" s="1">
        <f>IFERROR(IF(91 &gt; ResultCount, "", MATCH(LARGE(tblDocuments[Sort Key], 91), tblDocuments[Sort Key], 0)), "")</f>
        <v>91</v>
      </c>
    </row>
    <row r="103" spans="5:11" ht="30" customHeight="1" x14ac:dyDescent="0.25">
      <c r="E103" s="9" t="str">
        <f>IFERROR(IF($K103 = "", "", IF(INDEX(tblDocuments[Link Out], $K103) = "", INDEX(tblDocuments[Display Name], $K103), HYPERLINK(INDEX(tblDocuments[Link Out], $K103), INDEX(tblDocuments[Display Name], $K103)))), "")</f>
        <v>AVS Cost Model and Forecast</v>
      </c>
      <c r="F103" s="7" t="str">
        <f>IFERROR(IF($K103 = "", "", IF(TRIM(INDEX(tblDocuments[Document Type], $K103) &amp; "") = "", "—", TRIM(INDEX(tblDocuments[Document Type], $K103) &amp; ""))), "")</f>
        <v>Report</v>
      </c>
      <c r="G103" s="7" t="str">
        <f>IFERROR(IF($K103 = "", "", INDEX(tblDocuments[Scope Group], $K103)), "")</f>
        <v>Cost</v>
      </c>
      <c r="H103" s="10" t="str">
        <f>IFERROR(IF($K103 = "", "", IF(TRIM(INDEX(tblDocuments[Description], $K103) &amp; "") = "", "—", IF(LEN(TRIM(INDEX(tblDocuments[Description], $K103) &amp; "")) &gt; 165, LEFT(TRIM(INDEX(tblDocuments[Description], $K103) &amp; ""), 164) &amp; "…", TRIM(INDEX(tblDocuments[Description], $K103) &amp; "")))), "")</f>
        <v>Cost model covering reserved instance coverage, node run rate and a three year forecast for the AVS estate.</v>
      </c>
      <c r="K103" s="1">
        <f>IFERROR(IF(92 &gt; ResultCount, "", MATCH(LARGE(tblDocuments[Sort Key], 92), tblDocuments[Sort Key], 0)), "")</f>
        <v>92</v>
      </c>
    </row>
    <row r="104" spans="5:11" ht="30" customHeight="1" x14ac:dyDescent="0.25">
      <c r="E104" s="9" t="str">
        <f>IFERROR(IF($K104 = "", "", IF(INDEX(tblDocuments[Link Out], $K104) = "", INDEX(tblDocuments[Display Name], $K104), HYPERLINK(INDEX(tblDocuments[Link Out], $K104), INDEX(tblDocuments[Display Name], $K104)))), "")</f>
        <v>Reserved Instance Purchasing Guide</v>
      </c>
      <c r="F104" s="7" t="str">
        <f>IFERROR(IF($K104 = "", "", IF(TRIM(INDEX(tblDocuments[Document Type], $K104) &amp; "") = "", "—", TRIM(INDEX(tblDocuments[Document Type], $K104) &amp; ""))), "")</f>
        <v>Guide</v>
      </c>
      <c r="G104" s="7" t="str">
        <f>IFERROR(IF($K104 = "", "", INDEX(tblDocuments[Scope Group], $K104)), "")</f>
        <v>Cost</v>
      </c>
      <c r="H104" s="10" t="str">
        <f>IFERROR(IF($K104 = "", "", IF(TRIM(INDEX(tblDocuments[Description], $K104) &amp; "") = "", "—", IF(LEN(TRIM(INDEX(tblDocuments[Description], $K104) &amp; "")) &gt; 165, LEFT(TRIM(INDEX(tblDocuments[Description], $K104) &amp; ""), 164) &amp; "…", TRIM(INDEX(tblDocuments[Description], $K104) &amp; "")))), "")</f>
        <v>Guide to purchasing, allocating and tracking reserved instances for AVS nodes to reduce run cost.</v>
      </c>
      <c r="K104" s="1">
        <f>IFERROR(IF(93 &gt; ResultCount, "", MATCH(LARGE(tblDocuments[Sort Key], 93), tblDocuments[Sort Key], 0)), "")</f>
        <v>93</v>
      </c>
    </row>
    <row r="105" spans="5:11" ht="30" customHeight="1" x14ac:dyDescent="0.25">
      <c r="E105" s="9" t="str">
        <f>IFERROR(IF($K105 = "", "", IF(INDEX(tblDocuments[Link Out], $K105) = "", INDEX(tblDocuments[Display Name], $K105), HYPERLINK(INDEX(tblDocuments[Link Out], $K105), INDEX(tblDocuments[Display Name], $K105)))), "")</f>
        <v>Cost Allocation and Showback Guide</v>
      </c>
      <c r="F105" s="7" t="str">
        <f>IFERROR(IF($K105 = "", "", IF(TRIM(INDEX(tblDocuments[Document Type], $K105) &amp; "") = "", "—", TRIM(INDEX(tblDocuments[Document Type], $K105) &amp; ""))), "")</f>
        <v>Guide</v>
      </c>
      <c r="G105" s="7" t="str">
        <f>IFERROR(IF($K105 = "", "", INDEX(tblDocuments[Scope Group], $K105)), "")</f>
        <v>Cost</v>
      </c>
      <c r="H105" s="10" t="str">
        <f>IFERROR(IF($K105 = "", "", IF(TRIM(INDEX(tblDocuments[Description], $K105) &amp; "") = "", "—", IF(LEN(TRIM(INDEX(tblDocuments[Description], $K105) &amp; "")) &gt; 165, LEFT(TRIM(INDEX(tblDocuments[Description], $K105) &amp; ""), 164) &amp; "…", TRIM(INDEX(tblDocuments[Description], $K105) &amp; "")))), "")</f>
        <v>How AVS platform cost is allocated to consuming business units and presented through showback reporting.</v>
      </c>
      <c r="K105" s="1">
        <f>IFERROR(IF(94 &gt; ResultCount, "", MATCH(LARGE(tblDocuments[Sort Key], 94), tblDocuments[Sort Key], 0)), "")</f>
        <v>94</v>
      </c>
    </row>
    <row r="106" spans="5:11" ht="30" customHeight="1" x14ac:dyDescent="0.25">
      <c r="E106" s="9" t="str">
        <f>IFERROR(IF($K106 = "", "", IF(INDEX(tblDocuments[Link Out], $K106) = "", INDEX(tblDocuments[Display Name], $K106), HYPERLINK(INDEX(tblDocuments[Link Out], $K106), INDEX(tblDocuments[Display Name], $K106)))), "")</f>
        <v>Monthly Cost Variance Report</v>
      </c>
      <c r="F106" s="7" t="str">
        <f>IFERROR(IF($K106 = "", "", IF(TRIM(INDEX(tblDocuments[Document Type], $K106) &amp; "") = "", "—", TRIM(INDEX(tblDocuments[Document Type], $K106) &amp; ""))), "")</f>
        <v>Report</v>
      </c>
      <c r="G106" s="7" t="str">
        <f>IFERROR(IF($K106 = "", "", INDEX(tblDocuments[Scope Group], $K106)), "")</f>
        <v>Cost</v>
      </c>
      <c r="H106" s="10" t="str">
        <f>IFERROR(IF($K106 = "", "", IF(TRIM(INDEX(tblDocuments[Description], $K106) &amp; "") = "", "—", IF(LEN(TRIM(INDEX(tblDocuments[Description], $K106) &amp; "")) &gt; 165, LEFT(TRIM(INDEX(tblDocuments[Description], $K106) &amp; ""), 164) &amp; "…", TRIM(INDEX(tblDocuments[Description], $K106) &amp; "")))), "")</f>
        <v>Monthly analysis of actual versus forecast AVS spend with commentary on material variances.</v>
      </c>
      <c r="K106" s="1">
        <f>IFERROR(IF(95 &gt; ResultCount, "", MATCH(LARGE(tblDocuments[Sort Key], 95), tblDocuments[Sort Key], 0)), "")</f>
        <v>95</v>
      </c>
    </row>
    <row r="107" spans="5:11" ht="30" customHeight="1" x14ac:dyDescent="0.25">
      <c r="E107" s="9" t="str">
        <f>IFERROR(IF($K107 = "", "", IF(INDEX(tblDocuments[Link Out], $K107) = "", INDEX(tblDocuments[Display Name], $K107), HYPERLINK(INDEX(tblDocuments[Link Out], $K107), INDEX(tblDocuments[Display Name], $K107)))), "")</f>
        <v>Right Sizing and Optimisation Playbook</v>
      </c>
      <c r="F107" s="7" t="str">
        <f>IFERROR(IF($K107 = "", "", IF(TRIM(INDEX(tblDocuments[Document Type], $K107) &amp; "") = "", "—", TRIM(INDEX(tblDocuments[Document Type], $K107) &amp; ""))), "")</f>
        <v>Guide</v>
      </c>
      <c r="G107" s="7" t="str">
        <f>IFERROR(IF($K107 = "", "", INDEX(tblDocuments[Scope Group], $K107)), "")</f>
        <v>Cost</v>
      </c>
      <c r="H107" s="10" t="str">
        <f>IFERROR(IF($K107 = "", "", IF(TRIM(INDEX(tblDocuments[Description], $K107) &amp; "") = "", "—", IF(LEN(TRIM(INDEX(tblDocuments[Description], $K107) &amp; "")) &gt; 165, LEFT(TRIM(INDEX(tblDocuments[Description], $K107) &amp; ""), 164) &amp; "…", TRIM(INDEX(tblDocuments[Description], $K107) &amp; "")))), "")</f>
        <v>Playbook of optimisation levers for the AVS estate including right sizing, power management and storage tiering.</v>
      </c>
      <c r="K107" s="1">
        <f>IFERROR(IF(96 &gt; ResultCount, "", MATCH(LARGE(tblDocuments[Sort Key], 96), tblDocuments[Sort Key], 0)), "")</f>
        <v>96</v>
      </c>
    </row>
    <row r="108" spans="5:11" ht="30" customHeight="1" x14ac:dyDescent="0.25">
      <c r="E108" s="9" t="str">
        <f>IFERROR(IF($K108 = "", "", IF(INDEX(tblDocuments[Link Out], $K108) = "", INDEX(tblDocuments[Display Name], $K108), HYPERLINK(INDEX(tblDocuments[Link Out], $K108), INDEX(tblDocuments[Display Name], $K108)))), "")</f>
        <v>AVS Platform Onboarding Guide for New Engineers</v>
      </c>
      <c r="F108" s="7" t="str">
        <f>IFERROR(IF($K108 = "", "", IF(TRIM(INDEX(tblDocuments[Document Type], $K108) &amp; "") = "", "—", TRIM(INDEX(tblDocuments[Document Type], $K108) &amp; ""))), "")</f>
        <v>Guide</v>
      </c>
      <c r="G108" s="7" t="str">
        <f>IFERROR(IF($K108 = "", "", INDEX(tblDocuments[Scope Group], $K108)), "")</f>
        <v>Training</v>
      </c>
      <c r="H108" s="10" t="str">
        <f>IFERROR(IF($K108 = "", "", IF(TRIM(INDEX(tblDocuments[Description], $K108) &amp; "") = "", "—", IF(LEN(TRIM(INDEX(tblDocuments[Description], $K108) &amp; "")) &gt; 165, LEFT(TRIM(INDEX(tblDocuments[Description], $K108) &amp; ""), 164) &amp; "…", TRIM(INDEX(tblDocuments[Description], $K108) &amp; "")))), "")</f>
        <v>Onboarding guide for engineers joining the platform team, covering access, tooling and the first 30 days.</v>
      </c>
      <c r="K108" s="1">
        <f>IFERROR(IF(97 &gt; ResultCount, "", MATCH(LARGE(tblDocuments[Sort Key], 97), tblDocuments[Sort Key], 0)), "")</f>
        <v>97</v>
      </c>
    </row>
    <row r="109" spans="5:11" ht="30" customHeight="1" x14ac:dyDescent="0.25">
      <c r="E109" s="9" t="str">
        <f>IFERROR(IF($K109 = "", "", IF(INDEX(tblDocuments[Link Out], $K109) = "", INDEX(tblDocuments[Display Name], $K109), HYPERLINK(INDEX(tblDocuments[Link Out], $K109), INDEX(tblDocuments[Display Name], $K109)))), "")</f>
        <v>vSphere Fundamentals Training Deck</v>
      </c>
      <c r="F109" s="7" t="str">
        <f>IFERROR(IF($K109 = "", "", IF(TRIM(INDEX(tblDocuments[Document Type], $K109) &amp; "") = "", "—", TRIM(INDEX(tblDocuments[Document Type], $K109) &amp; ""))), "")</f>
        <v>Training</v>
      </c>
      <c r="G109" s="7" t="str">
        <f>IFERROR(IF($K109 = "", "", INDEX(tblDocuments[Scope Group], $K109)), "")</f>
        <v>Training</v>
      </c>
      <c r="H109" s="10" t="str">
        <f>IFERROR(IF($K109 = "", "", IF(TRIM(INDEX(tblDocuments[Description], $K109) &amp; "") = "", "—", IF(LEN(TRIM(INDEX(tblDocuments[Description], $K109) &amp; "")) &gt; 165, LEFT(TRIM(INDEX(tblDocuments[Description], $K109) &amp; ""), 164) &amp; "…", TRIM(INDEX(tblDocuments[Description], $K109) &amp; "")))), "")</f>
        <v>Internal training deck covering vSphere fundamentals for engineers new to VMware technologies.</v>
      </c>
      <c r="K109" s="1">
        <f>IFERROR(IF(98 &gt; ResultCount, "", MATCH(LARGE(tblDocuments[Sort Key], 98), tblDocuments[Sort Key], 0)), "")</f>
        <v>98</v>
      </c>
    </row>
    <row r="110" spans="5:11" ht="30" customHeight="1" x14ac:dyDescent="0.25">
      <c r="E110" s="9" t="str">
        <f>IFERROR(IF($K110 = "", "", IF(INDEX(tblDocuments[Link Out], $K110) = "", INDEX(tblDocuments[Display Name], $K110), HYPERLINK(INDEX(tblDocuments[Link Out], $K110), INDEX(tblDocuments[Display Name], $K110)))), "")</f>
        <v>NSX-T Operations Training Deck</v>
      </c>
      <c r="F110" s="7" t="str">
        <f>IFERROR(IF($K110 = "", "", IF(TRIM(INDEX(tblDocuments[Document Type], $K110) &amp; "") = "", "—", TRIM(INDEX(tblDocuments[Document Type], $K110) &amp; ""))), "")</f>
        <v>Training</v>
      </c>
      <c r="G110" s="7" t="str">
        <f>IFERROR(IF($K110 = "", "", INDEX(tblDocuments[Scope Group], $K110)), "")</f>
        <v>Training</v>
      </c>
      <c r="H110" s="10" t="str">
        <f>IFERROR(IF($K110 = "", "", IF(TRIM(INDEX(tblDocuments[Description], $K110) &amp; "") = "", "—", IF(LEN(TRIM(INDEX(tblDocuments[Description], $K110) &amp; "")) &gt; 165, LEFT(TRIM(INDEX(tblDocuments[Description], $K110) &amp; ""), 164) &amp; "…", TRIM(INDEX(tblDocuments[Description], $K110) &amp; "")))), "")</f>
        <v>Training deck covering day two NSX-T operations, common tasks and troubleshooting techniques.</v>
      </c>
      <c r="K110" s="1">
        <f>IFERROR(IF(99 &gt; ResultCount, "", MATCH(LARGE(tblDocuments[Sort Key], 99), tblDocuments[Sort Key], 0)), "")</f>
        <v>99</v>
      </c>
    </row>
    <row r="111" spans="5:11" ht="30" customHeight="1" x14ac:dyDescent="0.25">
      <c r="E111" s="9" t="str">
        <f>IFERROR(IF($K111 = "", "", IF(INDEX(tblDocuments[Link Out], $K111) = "", INDEX(tblDocuments[Display Name], $K111), HYPERLINK(INDEX(tblDocuments[Link Out], $K111), INDEX(tblDocuments[Display Name], $K111)))), "")</f>
        <v>AVS Frequently Asked Questions</v>
      </c>
      <c r="F111" s="7" t="str">
        <f>IFERROR(IF($K111 = "", "", IF(TRIM(INDEX(tblDocuments[Document Type], $K111) &amp; "") = "", "—", TRIM(INDEX(tblDocuments[Document Type], $K111) &amp; ""))), "")</f>
        <v>FAQ</v>
      </c>
      <c r="G111" s="7" t="str">
        <f>IFERROR(IF($K111 = "", "", INDEX(tblDocuments[Scope Group], $K111)), "")</f>
        <v>Training</v>
      </c>
      <c r="H111" s="10" t="str">
        <f>IFERROR(IF($K111 = "", "", IF(TRIM(INDEX(tblDocuments[Description], $K111) &amp; "") = "", "—", IF(LEN(TRIM(INDEX(tblDocuments[Description], $K111) &amp; "")) &gt; 165, LEFT(TRIM(INDEX(tblDocuments[Description], $K111) &amp; ""), 164) &amp; "…", TRIM(INDEX(tblDocuments[Description], $K111) &amp; "")))), "")</f>
        <v>General FAQ about Azure VMware Solution aimed at internal stakeholders and application teams.</v>
      </c>
      <c r="K111" s="1">
        <f>IFERROR(IF(100 &gt; ResultCount, "", MATCH(LARGE(tblDocuments[Sort Key], 100), tblDocuments[Sort Key], 0)), "")</f>
        <v>100</v>
      </c>
    </row>
    <row r="112" spans="5:11" ht="30" customHeight="1" x14ac:dyDescent="0.25">
      <c r="E112" s="9" t="str">
        <f>IFERROR(IF($K112 = "", "", IF(INDEX(tblDocuments[Link Out], $K112) = "", INDEX(tblDocuments[Display Name], $K112), HYPERLINK(INDEX(tblDocuments[Link Out], $K112), INDEX(tblDocuments[Display Name], $K112)))), "")</f>
        <v>Glossary of AVS and VMware Terminology</v>
      </c>
      <c r="F112" s="7" t="str">
        <f>IFERROR(IF($K112 = "", "", IF(TRIM(INDEX(tblDocuments[Document Type], $K112) &amp; "") = "", "—", TRIM(INDEX(tblDocuments[Document Type], $K112) &amp; ""))), "")</f>
        <v>Guide</v>
      </c>
      <c r="G112" s="7" t="str">
        <f>IFERROR(IF($K112 = "", "", INDEX(tblDocuments[Scope Group], $K112)), "")</f>
        <v>Training</v>
      </c>
      <c r="H112" s="10" t="str">
        <f>IFERROR(IF($K112 = "", "", IF(TRIM(INDEX(tblDocuments[Description], $K112) &amp; "") = "", "—", IF(LEN(TRIM(INDEX(tblDocuments[Description], $K112) &amp; "")) &gt; 165, LEFT(TRIM(INDEX(tblDocuments[Description], $K112) &amp; ""), 164) &amp; "…", TRIM(INDEX(tblDocuments[Description], $K112) &amp; "")))), "")</f>
        <v>Glossary of acronyms and terminology used across the AVS programme documentation set.</v>
      </c>
      <c r="K112" s="1">
        <f>IFERROR(IF(101 &gt; ResultCount, "", MATCH(LARGE(tblDocuments[Sort Key], 101), tblDocuments[Sort Key], 0)), "")</f>
        <v>101</v>
      </c>
    </row>
    <row r="113" spans="5:11" ht="30" customHeight="1" x14ac:dyDescent="0.25">
      <c r="E113" s="9" t="str">
        <f>IFERROR(IF($K113 = "", "", IF(INDEX(tblDocuments[Link Out], $K113) = "", INDEX(tblDocuments[Display Name], $K113), HYPERLINK(INDEX(tblDocuments[Link Out], $K113), INDEX(tblDocuments[Display Name], $K113)))), "")</f>
        <v>Unfiled Legacy Platform Notes</v>
      </c>
      <c r="F113" s="7" t="str">
        <f>IFERROR(IF($K113 = "", "", IF(TRIM(INDEX(tblDocuments[Document Type], $K113) &amp; "") = "", "—", TRIM(INDEX(tblDocuments[Document Type], $K113) &amp; ""))), "")</f>
        <v>Guide</v>
      </c>
      <c r="G113" s="7" t="str">
        <f>IFERROR(IF($K113 = "", "", INDEX(tblDocuments[Scope Group], $K113)), "")</f>
        <v>(Unspecified)</v>
      </c>
      <c r="H113" s="10" t="str">
        <f>IFERROR(IF($K113 = "", "", IF(TRIM(INDEX(tblDocuments[Description], $K113) &amp; "") = "", "—", IF(LEN(TRIM(INDEX(tblDocuments[Description], $K113) &amp; "")) &gt; 165, LEFT(TRIM(INDEX(tblDocuments[Description], $K113) &amp; ""), 164) &amp; "…", TRIM(INDEX(tblDocuments[Description], $K113) &amp; "")))), "")</f>
        <v>Historic notes inherited from the legacy platform team that have not yet been assigned to a scope.</v>
      </c>
      <c r="K113" s="1">
        <f>IFERROR(IF(102 &gt; ResultCount, "", MATCH(LARGE(tblDocuments[Sort Key], 102), tblDocuments[Sort Key], 0)), "")</f>
        <v>102</v>
      </c>
    </row>
    <row r="114" spans="5:11" ht="30" customHeight="1" x14ac:dyDescent="0.25">
      <c r="E114" s="9" t="str">
        <f>IFERROR(IF($K114 = "", "", IF(INDEX(tblDocuments[Link Out], $K114) = "", INDEX(tblDocuments[Display Name], $K114), HYPERLINK(INDEX(tblDocuments[Link Out], $K114), INDEX(tblDocuments[Display Name], $K114)))), "")</f>
        <v>VLAN to Overlay Migration Notes</v>
      </c>
      <c r="F114" s="7" t="str">
        <f>IFERROR(IF($K114 = "", "", IF(TRIM(INDEX(tblDocuments[Document Type], $K114) &amp; "") = "", "—", TRIM(INDEX(tblDocuments[Document Type], $K114) &amp; ""))), "")</f>
        <v>Guide</v>
      </c>
      <c r="G114" s="7" t="str">
        <f>IFERROR(IF($K114 = "", "", INDEX(tblDocuments[Scope Group], $K114)), "")</f>
        <v>Network</v>
      </c>
      <c r="H114" s="10" t="str">
        <f>IFERROR(IF($K114 = "", "", IF(TRIM(INDEX(tblDocuments[Description], $K114) &amp; "") = "", "—", IF(LEN(TRIM(INDEX(tblDocuments[Description], $K114) &amp; "")) &gt; 165, LEFT(TRIM(INDEX(tblDocuments[Description], $K114) &amp; ""), 164) &amp; "…", TRIM(INDEX(tblDocuments[Description], $K114) &amp; "")))), "")</f>
        <v>Working notes on moving remaining VLAN backed port groups onto NSX-T overlay segments.</v>
      </c>
      <c r="K114" s="1">
        <f>IFERROR(IF(103 &gt; ResultCount, "", MATCH(LARGE(tblDocuments[Sort Key], 103), tblDocuments[Sort Key], 0)), "")</f>
        <v>103</v>
      </c>
    </row>
    <row r="115" spans="5:11" ht="30" customHeight="1" x14ac:dyDescent="0.25">
      <c r="E115" s="9" t="str">
        <f>IFERROR(IF($K115 = "", "", IF(INDEX(tblDocuments[Link Out], $K115) = "", INDEX(tblDocuments[Display Name], $K115), HYPERLINK(INDEX(tblDocuments[Link Out], $K115), INDEX(tblDocuments[Display Name], $K115)))), "")</f>
        <v>Out of Hours Standby Rota Runbook</v>
      </c>
      <c r="F115" s="7" t="str">
        <f>IFERROR(IF($K115 = "", "", IF(TRIM(INDEX(tblDocuments[Document Type], $K115) &amp; "") = "", "—", TRIM(INDEX(tblDocuments[Document Type], $K115) &amp; ""))), "")</f>
        <v>Runbook</v>
      </c>
      <c r="G115" s="7" t="str">
        <f>IFERROR(IF($K115 = "", "", INDEX(tblDocuments[Scope Group], $K115)), "")</f>
        <v>Operations</v>
      </c>
      <c r="H115" s="10" t="str">
        <f>IFERROR(IF($K115 = "", "", IF(TRIM(INDEX(tblDocuments[Description], $K115) &amp; "") = "", "—", IF(LEN(TRIM(INDEX(tblDocuments[Description], $K115) &amp; "")) &gt; 165, LEFT(TRIM(INDEX(tblDocuments[Description], $K115) &amp; ""), 164) &amp; "…", TRIM(INDEX(tblDocuments[Description], $K115) &amp; "")))), "")</f>
        <v>—</v>
      </c>
      <c r="K115" s="1">
        <f>IFERROR(IF(104 &gt; ResultCount, "", MATCH(LARGE(tblDocuments[Sort Key], 104), tblDocuments[Sort Key], 0)), "")</f>
        <v>104</v>
      </c>
    </row>
    <row r="116" spans="5:11" ht="30" customHeight="1" x14ac:dyDescent="0.25">
      <c r="E116" s="9" t="str">
        <f>IFERROR(IF($K116 = "", "", IF(INDEX(tblDocuments[Link Out], $K116) = "", INDEX(tblDocuments[Display Name], $K116), HYPERLINK(INDEX(tblDocuments[Link Out], $K116), INDEX(tblDocuments[Display Name], $K116)))), "")</f>
        <v>Key Rotation Schedule</v>
      </c>
      <c r="F116" s="7" t="str">
        <f>IFERROR(IF($K116 = "", "", IF(TRIM(INDEX(tblDocuments[Document Type], $K116) &amp; "") = "", "—", TRIM(INDEX(tblDocuments[Document Type], $K116) &amp; ""))), "")</f>
        <v>—</v>
      </c>
      <c r="G116" s="7" t="str">
        <f>IFERROR(IF($K116 = "", "", INDEX(tblDocuments[Scope Group], $K116)), "")</f>
        <v>Security</v>
      </c>
      <c r="H116" s="10" t="str">
        <f>IFERROR(IF($K116 = "", "", IF(TRIM(INDEX(tblDocuments[Description], $K116) &amp; "") = "", "—", IF(LEN(TRIM(INDEX(tblDocuments[Description], $K116) &amp; "")) &gt; 165, LEFT(TRIM(INDEX(tblDocuments[Description], $K116) &amp; ""), 164) &amp; "…", TRIM(INDEX(tblDocuments[Description], $K116) &amp; "")))), "")</f>
        <v>Schedule of encryption key rotation dates and owners for the AVS platform.</v>
      </c>
      <c r="K116" s="1">
        <f>IFERROR(IF(105 &gt; ResultCount, "", MATCH(LARGE(tblDocuments[Sort Key], 105), tblDocuments[Sort Key], 0)), "")</f>
        <v>105</v>
      </c>
    </row>
    <row r="117" spans="5:11" ht="30" customHeight="1" x14ac:dyDescent="0.25">
      <c r="E117" s="9" t="str">
        <f>IFERROR(IF($K117 = "", "", IF(INDEX(tblDocuments[Link Out], $K117) = "", INDEX(tblDocuments[Display Name], $K117), HYPERLINK(INDEX(tblDocuments[Link Out], $K117), INDEX(tblDocuments[Display Name], $K117)))), "")</f>
        <v>Wave 9 Draft Plan (Pending Upload)   (no link)</v>
      </c>
      <c r="F117" s="7" t="str">
        <f>IFERROR(IF($K117 = "", "", IF(TRIM(INDEX(tblDocuments[Document Type], $K117) &amp; "") = "", "—", TRIM(INDEX(tblDocuments[Document Type], $K117) &amp; ""))), "")</f>
        <v>Plan</v>
      </c>
      <c r="G117" s="7" t="str">
        <f>IFERROR(IF($K117 = "", "", INDEX(tblDocuments[Scope Group], $K117)), "")</f>
        <v>Migration</v>
      </c>
      <c r="H117" s="10" t="str">
        <f>IFERROR(IF($K117 = "", "", IF(TRIM(INDEX(tblDocuments[Description], $K117) &amp; "") = "", "—", IF(LEN(TRIM(INDEX(tblDocuments[Description], $K117) &amp; "")) &gt; 165, LEFT(TRIM(INDEX(tblDocuments[Description], $K117) &amp; ""), 164) &amp; "…", TRIM(INDEX(tblDocuments[Description], $K117) &amp; "")))), "")</f>
        <v>Draft wave 9 plan still under review; the final version has not yet been published to SharePoint.</v>
      </c>
      <c r="K117" s="1">
        <f>IFERROR(IF(106 &gt; ResultCount, "", MATCH(LARGE(tblDocuments[Sort Key], 106), tblDocuments[Sort Key], 0)), "")</f>
        <v>106</v>
      </c>
    </row>
    <row r="118" spans="5:11" ht="30" customHeight="1" x14ac:dyDescent="0.25">
      <c r="E118" s="9" t="str">
        <f>IFERROR(IF($K118 = "", "", IF(INDEX(tblDocuments[Link Out], $K118) = "", INDEX(tblDocuments[Display Name], $K118), HYPERLINK(INDEX(tblDocuments[Link Out], $K118), INDEX(tblDocuments[Display Name], $K118)))), "")</f>
        <v>Jumbo Frames and MTU Configuration</v>
      </c>
      <c r="F118" s="7" t="str">
        <f>IFERROR(IF($K118 = "", "", IF(TRIM(INDEX(tblDocuments[Document Type], $K118) &amp; "") = "", "—", TRIM(INDEX(tblDocuments[Document Type], $K118) &amp; ""))), "")</f>
        <v>Guide</v>
      </c>
      <c r="G118" s="7" t="str">
        <f>IFERROR(IF($K118 = "", "", INDEX(tblDocuments[Scope Group], $K118)), "")</f>
        <v>Network</v>
      </c>
      <c r="H118" s="10" t="str">
        <f>IFERROR(IF($K118 = "", "", IF(TRIM(INDEX(tblDocuments[Description], $K118) &amp; "") = "", "—", IF(LEN(TRIM(INDEX(tblDocuments[Description], $K118) &amp; "")) &gt; 165, LEFT(TRIM(INDEX(tblDocuments[Description], $K118) &amp; ""), 164) &amp; "…", TRIM(INDEX(tblDocuments[Description], $K118) &amp; "")))), "")</f>
        <v>Guidance on MTU sizing across ExpressRoute, HCX network extension and NSX-T overlay segments.</v>
      </c>
      <c r="K118" s="1">
        <f>IFERROR(IF(107 &gt; ResultCount, "", MATCH(LARGE(tblDocuments[Sort Key], 107), tblDocuments[Sort Key], 0)), "")</f>
        <v>107</v>
      </c>
    </row>
    <row r="119" spans="5:11" ht="30" customHeight="1" x14ac:dyDescent="0.25">
      <c r="E119" s="9" t="str">
        <f>IFERROR(IF($K119 = "", "", IF(INDEX(tblDocuments[Link Out], $K119) = "", INDEX(tblDocuments[Display Name], $K119), HYPERLINK(INDEX(tblDocuments[Link Out], $K119), INDEX(tblDocuments[Display Name], $K119)))), "")</f>
        <v>AVS Platform High Level Design</v>
      </c>
      <c r="F119" s="7" t="str">
        <f>IFERROR(IF($K119 = "", "", IF(TRIM(INDEX(tblDocuments[Document Type], $K119) &amp; "") = "", "—", TRIM(INDEX(tblDocuments[Document Type], $K119) &amp; ""))), "")</f>
        <v>HLD</v>
      </c>
      <c r="G119" s="7" t="str">
        <f>IFERROR(IF($K119 = "", "", INDEX(tblDocuments[Scope Group], $K119)), "")</f>
        <v>Design</v>
      </c>
      <c r="H119" s="10" t="str">
        <f>IFERROR(IF($K119 = "", "", IF(TRIM(INDEX(tblDocuments[Description], $K119) &amp; "") = "", "—", IF(LEN(TRIM(INDEX(tblDocuments[Description], $K119) &amp; "")) &gt; 165, LEFT(TRIM(INDEX(tblDocuments[Description], $K119) &amp; ""), 164) &amp; "…", TRIM(INDEX(tblDocuments[Description], $K119) &amp; "")))), "")</f>
        <v>Superseded v1.0 of the platform high level design, retained for audit purposes only.</v>
      </c>
      <c r="K119" s="1">
        <f>IFERROR(IF(108 &gt; ResultCount, "", MATCH(LARGE(tblDocuments[Sort Key], 108), tblDocuments[Sort Key], 0)), "")</f>
        <v>108</v>
      </c>
    </row>
    <row r="120" spans="5:11" ht="30" customHeight="1" x14ac:dyDescent="0.25">
      <c r="E120" s="9" t="str">
        <f>IFERROR(IF($K120 = "", "", IF(INDEX(tblDocuments[Link Out], $K120) = "", INDEX(tblDocuments[Display Name], $K120), HYPERLINK(INDEX(tblDocuments[Link Out], $K120), INDEX(tblDocuments[Display Name], $K120)))), "")</f>
        <v>Wireless Site Survey (Legacy DC)</v>
      </c>
      <c r="F120" s="7" t="str">
        <f>IFERROR(IF($K120 = "", "", IF(TRIM(INDEX(tblDocuments[Document Type], $K120) &amp; "") = "", "—", TRIM(INDEX(tblDocuments[Document Type], $K120) &amp; ""))), "")</f>
        <v>Report</v>
      </c>
      <c r="G120" s="7" t="str">
        <f>IFERROR(IF($K120 = "", "", INDEX(tblDocuments[Scope Group], $K120)), "")</f>
        <v>network</v>
      </c>
      <c r="H120" s="10" t="str">
        <f>IFERROR(IF($K120 = "", "", IF(TRIM(INDEX(tblDocuments[Description], $K120) &amp; "") = "", "—", IF(LEN(TRIM(INDEX(tblDocuments[Description], $K120) &amp; "")) &gt; 165, LEFT(TRIM(INDEX(tblDocuments[Description], $K120) &amp; ""), 164) &amp; "…", TRIM(INDEX(tblDocuments[Description], $K120) &amp; "")))), "")</f>
        <v>Legacy datacentre wireless survey retained for reference during the decommission programme.</v>
      </c>
      <c r="K120" s="1">
        <f>IFERROR(IF(109 &gt; ResultCount, "", MATCH(LARGE(tblDocuments[Sort Key], 109), tblDocuments[Sort Key], 0)), "")</f>
        <v>109</v>
      </c>
    </row>
    <row r="121" spans="5:11" ht="30" customHeight="1" x14ac:dyDescent="0.25">
      <c r="E121" s="9" t="str">
        <f>IFERROR(IF($K121 = "", "", IF(INDEX(tblDocuments[Link Out], $K121) = "", INDEX(tblDocuments[Display Name], $K121), HYPERLINK(INDEX(tblDocuments[Link Out], $K121), INDEX(tblDocuments[Display Name], $K121)))), "")</f>
        <v/>
      </c>
      <c r="F121" s="7" t="str">
        <f>IFERROR(IF($K121 = "", "", IF(TRIM(INDEX(tblDocuments[Document Type], $K121) &amp; "") = "", "—", TRIM(INDEX(tblDocuments[Document Type], $K121) &amp; ""))), "")</f>
        <v/>
      </c>
      <c r="G121" s="7" t="str">
        <f>IFERROR(IF($K121 = "", "", INDEX(tblDocuments[Scope Group], $K121)), "")</f>
        <v/>
      </c>
      <c r="H121" s="10" t="str">
        <f>IFERROR(IF($K121 = "", "", IF(TRIM(INDEX(tblDocuments[Description], $K121) &amp; "") = "", "—", IF(LEN(TRIM(INDEX(tblDocuments[Description], $K121) &amp; "")) &gt; 165, LEFT(TRIM(INDEX(tblDocuments[Description], $K121) &amp; ""), 164) &amp; "…", TRIM(INDEX(tblDocuments[Description], $K121) &amp; "")))), "")</f>
        <v/>
      </c>
      <c r="K121" s="1" t="str">
        <f>IFERROR(IF(110 &gt; ResultCount, "", MATCH(LARGE(tblDocuments[Sort Key], 110), tblDocuments[Sort Key], 0)), "")</f>
        <v/>
      </c>
    </row>
    <row r="122" spans="5:11" ht="30" customHeight="1" x14ac:dyDescent="0.25">
      <c r="E122" s="9" t="str">
        <f>IFERROR(IF($K122 = "", "", IF(INDEX(tblDocuments[Link Out], $K122) = "", INDEX(tblDocuments[Display Name], $K122), HYPERLINK(INDEX(tblDocuments[Link Out], $K122), INDEX(tblDocuments[Display Name], $K122)))), "")</f>
        <v/>
      </c>
      <c r="F122" s="7" t="str">
        <f>IFERROR(IF($K122 = "", "", IF(TRIM(INDEX(tblDocuments[Document Type], $K122) &amp; "") = "", "—", TRIM(INDEX(tblDocuments[Document Type], $K122) &amp; ""))), "")</f>
        <v/>
      </c>
      <c r="G122" s="7" t="str">
        <f>IFERROR(IF($K122 = "", "", INDEX(tblDocuments[Scope Group], $K122)), "")</f>
        <v/>
      </c>
      <c r="H122" s="10" t="str">
        <f>IFERROR(IF($K122 = "", "", IF(TRIM(INDEX(tblDocuments[Description], $K122) &amp; "") = "", "—", IF(LEN(TRIM(INDEX(tblDocuments[Description], $K122) &amp; "")) &gt; 165, LEFT(TRIM(INDEX(tblDocuments[Description], $K122) &amp; ""), 164) &amp; "…", TRIM(INDEX(tblDocuments[Description], $K122) &amp; "")))), "")</f>
        <v/>
      </c>
      <c r="K122" s="1" t="str">
        <f>IFERROR(IF(111 &gt; ResultCount, "", MATCH(LARGE(tblDocuments[Sort Key], 111), tblDocuments[Sort Key], 0)), "")</f>
        <v/>
      </c>
    </row>
    <row r="123" spans="5:11" ht="30" customHeight="1" x14ac:dyDescent="0.25">
      <c r="E123" s="9" t="str">
        <f>IFERROR(IF($K123 = "", "", IF(INDEX(tblDocuments[Link Out], $K123) = "", INDEX(tblDocuments[Display Name], $K123), HYPERLINK(INDEX(tblDocuments[Link Out], $K123), INDEX(tblDocuments[Display Name], $K123)))), "")</f>
        <v/>
      </c>
      <c r="F123" s="7" t="str">
        <f>IFERROR(IF($K123 = "", "", IF(TRIM(INDEX(tblDocuments[Document Type], $K123) &amp; "") = "", "—", TRIM(INDEX(tblDocuments[Document Type], $K123) &amp; ""))), "")</f>
        <v/>
      </c>
      <c r="G123" s="7" t="str">
        <f>IFERROR(IF($K123 = "", "", INDEX(tblDocuments[Scope Group], $K123)), "")</f>
        <v/>
      </c>
      <c r="H123" s="10" t="str">
        <f>IFERROR(IF($K123 = "", "", IF(TRIM(INDEX(tblDocuments[Description], $K123) &amp; "") = "", "—", IF(LEN(TRIM(INDEX(tblDocuments[Description], $K123) &amp; "")) &gt; 165, LEFT(TRIM(INDEX(tblDocuments[Description], $K123) &amp; ""), 164) &amp; "…", TRIM(INDEX(tblDocuments[Description], $K123) &amp; "")))), "")</f>
        <v/>
      </c>
      <c r="K123" s="1" t="str">
        <f>IFERROR(IF(112 &gt; ResultCount, "", MATCH(LARGE(tblDocuments[Sort Key], 112), tblDocuments[Sort Key], 0)), "")</f>
        <v/>
      </c>
    </row>
    <row r="124" spans="5:11" ht="30" customHeight="1" x14ac:dyDescent="0.25">
      <c r="E124" s="9" t="str">
        <f>IFERROR(IF($K124 = "", "", IF(INDEX(tblDocuments[Link Out], $K124) = "", INDEX(tblDocuments[Display Name], $K124), HYPERLINK(INDEX(tblDocuments[Link Out], $K124), INDEX(tblDocuments[Display Name], $K124)))), "")</f>
        <v/>
      </c>
      <c r="F124" s="7" t="str">
        <f>IFERROR(IF($K124 = "", "", IF(TRIM(INDEX(tblDocuments[Document Type], $K124) &amp; "") = "", "—", TRIM(INDEX(tblDocuments[Document Type], $K124) &amp; ""))), "")</f>
        <v/>
      </c>
      <c r="G124" s="7" t="str">
        <f>IFERROR(IF($K124 = "", "", INDEX(tblDocuments[Scope Group], $K124)), "")</f>
        <v/>
      </c>
      <c r="H124" s="10" t="str">
        <f>IFERROR(IF($K124 = "", "", IF(TRIM(INDEX(tblDocuments[Description], $K124) &amp; "") = "", "—", IF(LEN(TRIM(INDEX(tblDocuments[Description], $K124) &amp; "")) &gt; 165, LEFT(TRIM(INDEX(tblDocuments[Description], $K124) &amp; ""), 164) &amp; "…", TRIM(INDEX(tblDocuments[Description], $K124) &amp; "")))), "")</f>
        <v/>
      </c>
      <c r="K124" s="1" t="str">
        <f>IFERROR(IF(113 &gt; ResultCount, "", MATCH(LARGE(tblDocuments[Sort Key], 113), tblDocuments[Sort Key], 0)), "")</f>
        <v/>
      </c>
    </row>
    <row r="125" spans="5:11" ht="30" customHeight="1" x14ac:dyDescent="0.25">
      <c r="E125" s="9" t="str">
        <f>IFERROR(IF($K125 = "", "", IF(INDEX(tblDocuments[Link Out], $K125) = "", INDEX(tblDocuments[Display Name], $K125), HYPERLINK(INDEX(tblDocuments[Link Out], $K125), INDEX(tblDocuments[Display Name], $K125)))), "")</f>
        <v/>
      </c>
      <c r="F125" s="7" t="str">
        <f>IFERROR(IF($K125 = "", "", IF(TRIM(INDEX(tblDocuments[Document Type], $K125) &amp; "") = "", "—", TRIM(INDEX(tblDocuments[Document Type], $K125) &amp; ""))), "")</f>
        <v/>
      </c>
      <c r="G125" s="7" t="str">
        <f>IFERROR(IF($K125 = "", "", INDEX(tblDocuments[Scope Group], $K125)), "")</f>
        <v/>
      </c>
      <c r="H125" s="10" t="str">
        <f>IFERROR(IF($K125 = "", "", IF(TRIM(INDEX(tblDocuments[Description], $K125) &amp; "") = "", "—", IF(LEN(TRIM(INDEX(tblDocuments[Description], $K125) &amp; "")) &gt; 165, LEFT(TRIM(INDEX(tblDocuments[Description], $K125) &amp; ""), 164) &amp; "…", TRIM(INDEX(tblDocuments[Description], $K125) &amp; "")))), "")</f>
        <v/>
      </c>
      <c r="K125" s="1" t="str">
        <f>IFERROR(IF(114 &gt; ResultCount, "", MATCH(LARGE(tblDocuments[Sort Key], 114), tblDocuments[Sort Key], 0)), "")</f>
        <v/>
      </c>
    </row>
    <row r="126" spans="5:11" ht="30" customHeight="1" x14ac:dyDescent="0.25">
      <c r="E126" s="9" t="str">
        <f>IFERROR(IF($K126 = "", "", IF(INDEX(tblDocuments[Link Out], $K126) = "", INDEX(tblDocuments[Display Name], $K126), HYPERLINK(INDEX(tblDocuments[Link Out], $K126), INDEX(tblDocuments[Display Name], $K126)))), "")</f>
        <v/>
      </c>
      <c r="F126" s="7" t="str">
        <f>IFERROR(IF($K126 = "", "", IF(TRIM(INDEX(tblDocuments[Document Type], $K126) &amp; "") = "", "—", TRIM(INDEX(tblDocuments[Document Type], $K126) &amp; ""))), "")</f>
        <v/>
      </c>
      <c r="G126" s="7" t="str">
        <f>IFERROR(IF($K126 = "", "", INDEX(tblDocuments[Scope Group], $K126)), "")</f>
        <v/>
      </c>
      <c r="H126" s="10" t="str">
        <f>IFERROR(IF($K126 = "", "", IF(TRIM(INDEX(tblDocuments[Description], $K126) &amp; "") = "", "—", IF(LEN(TRIM(INDEX(tblDocuments[Description], $K126) &amp; "")) &gt; 165, LEFT(TRIM(INDEX(tblDocuments[Description], $K126) &amp; ""), 164) &amp; "…", TRIM(INDEX(tblDocuments[Description], $K126) &amp; "")))), "")</f>
        <v/>
      </c>
      <c r="K126" s="1" t="str">
        <f>IFERROR(IF(115 &gt; ResultCount, "", MATCH(LARGE(tblDocuments[Sort Key], 115), tblDocuments[Sort Key], 0)), "")</f>
        <v/>
      </c>
    </row>
    <row r="127" spans="5:11" ht="30" customHeight="1" x14ac:dyDescent="0.25">
      <c r="E127" s="9" t="str">
        <f>IFERROR(IF($K127 = "", "", IF(INDEX(tblDocuments[Link Out], $K127) = "", INDEX(tblDocuments[Display Name], $K127), HYPERLINK(INDEX(tblDocuments[Link Out], $K127), INDEX(tblDocuments[Display Name], $K127)))), "")</f>
        <v/>
      </c>
      <c r="F127" s="7" t="str">
        <f>IFERROR(IF($K127 = "", "", IF(TRIM(INDEX(tblDocuments[Document Type], $K127) &amp; "") = "", "—", TRIM(INDEX(tblDocuments[Document Type], $K127) &amp; ""))), "")</f>
        <v/>
      </c>
      <c r="G127" s="7" t="str">
        <f>IFERROR(IF($K127 = "", "", INDEX(tblDocuments[Scope Group], $K127)), "")</f>
        <v/>
      </c>
      <c r="H127" s="10" t="str">
        <f>IFERROR(IF($K127 = "", "", IF(TRIM(INDEX(tblDocuments[Description], $K127) &amp; "") = "", "—", IF(LEN(TRIM(INDEX(tblDocuments[Description], $K127) &amp; "")) &gt; 165, LEFT(TRIM(INDEX(tblDocuments[Description], $K127) &amp; ""), 164) &amp; "…", TRIM(INDEX(tblDocuments[Description], $K127) &amp; "")))), "")</f>
        <v/>
      </c>
      <c r="K127" s="1" t="str">
        <f>IFERROR(IF(116 &gt; ResultCount, "", MATCH(LARGE(tblDocuments[Sort Key], 116), tblDocuments[Sort Key], 0)), "")</f>
        <v/>
      </c>
    </row>
    <row r="128" spans="5:11" ht="30" customHeight="1" x14ac:dyDescent="0.25">
      <c r="E128" s="9" t="str">
        <f>IFERROR(IF($K128 = "", "", IF(INDEX(tblDocuments[Link Out], $K128) = "", INDEX(tblDocuments[Display Name], $K128), HYPERLINK(INDEX(tblDocuments[Link Out], $K128), INDEX(tblDocuments[Display Name], $K128)))), "")</f>
        <v/>
      </c>
      <c r="F128" s="7" t="str">
        <f>IFERROR(IF($K128 = "", "", IF(TRIM(INDEX(tblDocuments[Document Type], $K128) &amp; "") = "", "—", TRIM(INDEX(tblDocuments[Document Type], $K128) &amp; ""))), "")</f>
        <v/>
      </c>
      <c r="G128" s="7" t="str">
        <f>IFERROR(IF($K128 = "", "", INDEX(tblDocuments[Scope Group], $K128)), "")</f>
        <v/>
      </c>
      <c r="H128" s="10" t="str">
        <f>IFERROR(IF($K128 = "", "", IF(TRIM(INDEX(tblDocuments[Description], $K128) &amp; "") = "", "—", IF(LEN(TRIM(INDEX(tblDocuments[Description], $K128) &amp; "")) &gt; 165, LEFT(TRIM(INDEX(tblDocuments[Description], $K128) &amp; ""), 164) &amp; "…", TRIM(INDEX(tblDocuments[Description], $K128) &amp; "")))), "")</f>
        <v/>
      </c>
      <c r="K128" s="1" t="str">
        <f>IFERROR(IF(117 &gt; ResultCount, "", MATCH(LARGE(tblDocuments[Sort Key], 117), tblDocuments[Sort Key], 0)), "")</f>
        <v/>
      </c>
    </row>
    <row r="129" spans="5:11" ht="30" customHeight="1" x14ac:dyDescent="0.25">
      <c r="E129" s="9" t="str">
        <f>IFERROR(IF($K129 = "", "", IF(INDEX(tblDocuments[Link Out], $K129) = "", INDEX(tblDocuments[Display Name], $K129), HYPERLINK(INDEX(tblDocuments[Link Out], $K129), INDEX(tblDocuments[Display Name], $K129)))), "")</f>
        <v/>
      </c>
      <c r="F129" s="7" t="str">
        <f>IFERROR(IF($K129 = "", "", IF(TRIM(INDEX(tblDocuments[Document Type], $K129) &amp; "") = "", "—", TRIM(INDEX(tblDocuments[Document Type], $K129) &amp; ""))), "")</f>
        <v/>
      </c>
      <c r="G129" s="7" t="str">
        <f>IFERROR(IF($K129 = "", "", INDEX(tblDocuments[Scope Group], $K129)), "")</f>
        <v/>
      </c>
      <c r="H129" s="10" t="str">
        <f>IFERROR(IF($K129 = "", "", IF(TRIM(INDEX(tblDocuments[Description], $K129) &amp; "") = "", "—", IF(LEN(TRIM(INDEX(tblDocuments[Description], $K129) &amp; "")) &gt; 165, LEFT(TRIM(INDEX(tblDocuments[Description], $K129) &amp; ""), 164) &amp; "…", TRIM(INDEX(tblDocuments[Description], $K129) &amp; "")))), "")</f>
        <v/>
      </c>
      <c r="K129" s="1" t="str">
        <f>IFERROR(IF(118 &gt; ResultCount, "", MATCH(LARGE(tblDocuments[Sort Key], 118), tblDocuments[Sort Key], 0)), "")</f>
        <v/>
      </c>
    </row>
    <row r="130" spans="5:11" ht="30" customHeight="1" x14ac:dyDescent="0.25">
      <c r="E130" s="9" t="str">
        <f>IFERROR(IF($K130 = "", "", IF(INDEX(tblDocuments[Link Out], $K130) = "", INDEX(tblDocuments[Display Name], $K130), HYPERLINK(INDEX(tblDocuments[Link Out], $K130), INDEX(tblDocuments[Display Name], $K130)))), "")</f>
        <v/>
      </c>
      <c r="F130" s="7" t="str">
        <f>IFERROR(IF($K130 = "", "", IF(TRIM(INDEX(tblDocuments[Document Type], $K130) &amp; "") = "", "—", TRIM(INDEX(tblDocuments[Document Type], $K130) &amp; ""))), "")</f>
        <v/>
      </c>
      <c r="G130" s="7" t="str">
        <f>IFERROR(IF($K130 = "", "", INDEX(tblDocuments[Scope Group], $K130)), "")</f>
        <v/>
      </c>
      <c r="H130" s="10" t="str">
        <f>IFERROR(IF($K130 = "", "", IF(TRIM(INDEX(tblDocuments[Description], $K130) &amp; "") = "", "—", IF(LEN(TRIM(INDEX(tblDocuments[Description], $K130) &amp; "")) &gt; 165, LEFT(TRIM(INDEX(tblDocuments[Description], $K130) &amp; ""), 164) &amp; "…", TRIM(INDEX(tblDocuments[Description], $K130) &amp; "")))), "")</f>
        <v/>
      </c>
      <c r="K130" s="1" t="str">
        <f>IFERROR(IF(119 &gt; ResultCount, "", MATCH(LARGE(tblDocuments[Sort Key], 119), tblDocuments[Sort Key], 0)), "")</f>
        <v/>
      </c>
    </row>
    <row r="131" spans="5:11" ht="30" customHeight="1" x14ac:dyDescent="0.25">
      <c r="E131" s="9" t="str">
        <f>IFERROR(IF($K131 = "", "", IF(INDEX(tblDocuments[Link Out], $K131) = "", INDEX(tblDocuments[Display Name], $K131), HYPERLINK(INDEX(tblDocuments[Link Out], $K131), INDEX(tblDocuments[Display Name], $K131)))), "")</f>
        <v/>
      </c>
      <c r="F131" s="7" t="str">
        <f>IFERROR(IF($K131 = "", "", IF(TRIM(INDEX(tblDocuments[Document Type], $K131) &amp; "") = "", "—", TRIM(INDEX(tblDocuments[Document Type], $K131) &amp; ""))), "")</f>
        <v/>
      </c>
      <c r="G131" s="7" t="str">
        <f>IFERROR(IF($K131 = "", "", INDEX(tblDocuments[Scope Group], $K131)), "")</f>
        <v/>
      </c>
      <c r="H131" s="10" t="str">
        <f>IFERROR(IF($K131 = "", "", IF(TRIM(INDEX(tblDocuments[Description], $K131) &amp; "") = "", "—", IF(LEN(TRIM(INDEX(tblDocuments[Description], $K131) &amp; "")) &gt; 165, LEFT(TRIM(INDEX(tblDocuments[Description], $K131) &amp; ""), 164) &amp; "…", TRIM(INDEX(tblDocuments[Description], $K131) &amp; "")))), "")</f>
        <v/>
      </c>
      <c r="K131" s="1" t="str">
        <f>IFERROR(IF(120 &gt; ResultCount, "", MATCH(LARGE(tblDocuments[Sort Key], 120), tblDocuments[Sort Key], 0)), "")</f>
        <v/>
      </c>
    </row>
    <row r="132" spans="5:11" ht="30" customHeight="1" x14ac:dyDescent="0.25">
      <c r="E132" s="9" t="str">
        <f>IFERROR(IF($K132 = "", "", IF(INDEX(tblDocuments[Link Out], $K132) = "", INDEX(tblDocuments[Display Name], $K132), HYPERLINK(INDEX(tblDocuments[Link Out], $K132), INDEX(tblDocuments[Display Name], $K132)))), "")</f>
        <v/>
      </c>
      <c r="F132" s="7" t="str">
        <f>IFERROR(IF($K132 = "", "", IF(TRIM(INDEX(tblDocuments[Document Type], $K132) &amp; "") = "", "—", TRIM(INDEX(tblDocuments[Document Type], $K132) &amp; ""))), "")</f>
        <v/>
      </c>
      <c r="G132" s="7" t="str">
        <f>IFERROR(IF($K132 = "", "", INDEX(tblDocuments[Scope Group], $K132)), "")</f>
        <v/>
      </c>
      <c r="H132" s="10" t="str">
        <f>IFERROR(IF($K132 = "", "", IF(TRIM(INDEX(tblDocuments[Description], $K132) &amp; "") = "", "—", IF(LEN(TRIM(INDEX(tblDocuments[Description], $K132) &amp; "")) &gt; 165, LEFT(TRIM(INDEX(tblDocuments[Description], $K132) &amp; ""), 164) &amp; "…", TRIM(INDEX(tblDocuments[Description], $K132) &amp; "")))), "")</f>
        <v/>
      </c>
      <c r="K132" s="1" t="str">
        <f>IFERROR(IF(121 &gt; ResultCount, "", MATCH(LARGE(tblDocuments[Sort Key], 121), tblDocuments[Sort Key], 0)), "")</f>
        <v/>
      </c>
    </row>
    <row r="133" spans="5:11" ht="30" customHeight="1" x14ac:dyDescent="0.25">
      <c r="E133" s="9" t="str">
        <f>IFERROR(IF($K133 = "", "", IF(INDEX(tblDocuments[Link Out], $K133) = "", INDEX(tblDocuments[Display Name], $K133), HYPERLINK(INDEX(tblDocuments[Link Out], $K133), INDEX(tblDocuments[Display Name], $K133)))), "")</f>
        <v/>
      </c>
      <c r="F133" s="7" t="str">
        <f>IFERROR(IF($K133 = "", "", IF(TRIM(INDEX(tblDocuments[Document Type], $K133) &amp; "") = "", "—", TRIM(INDEX(tblDocuments[Document Type], $K133) &amp; ""))), "")</f>
        <v/>
      </c>
      <c r="G133" s="7" t="str">
        <f>IFERROR(IF($K133 = "", "", INDEX(tblDocuments[Scope Group], $K133)), "")</f>
        <v/>
      </c>
      <c r="H133" s="10" t="str">
        <f>IFERROR(IF($K133 = "", "", IF(TRIM(INDEX(tblDocuments[Description], $K133) &amp; "") = "", "—", IF(LEN(TRIM(INDEX(tblDocuments[Description], $K133) &amp; "")) &gt; 165, LEFT(TRIM(INDEX(tblDocuments[Description], $K133) &amp; ""), 164) &amp; "…", TRIM(INDEX(tblDocuments[Description], $K133) &amp; "")))), "")</f>
        <v/>
      </c>
      <c r="K133" s="1" t="str">
        <f>IFERROR(IF(122 &gt; ResultCount, "", MATCH(LARGE(tblDocuments[Sort Key], 122), tblDocuments[Sort Key], 0)), "")</f>
        <v/>
      </c>
    </row>
    <row r="134" spans="5:11" ht="30" customHeight="1" x14ac:dyDescent="0.25">
      <c r="E134" s="9" t="str">
        <f>IFERROR(IF($K134 = "", "", IF(INDEX(tblDocuments[Link Out], $K134) = "", INDEX(tblDocuments[Display Name], $K134), HYPERLINK(INDEX(tblDocuments[Link Out], $K134), INDEX(tblDocuments[Display Name], $K134)))), "")</f>
        <v/>
      </c>
      <c r="F134" s="7" t="str">
        <f>IFERROR(IF($K134 = "", "", IF(TRIM(INDEX(tblDocuments[Document Type], $K134) &amp; "") = "", "—", TRIM(INDEX(tblDocuments[Document Type], $K134) &amp; ""))), "")</f>
        <v/>
      </c>
      <c r="G134" s="7" t="str">
        <f>IFERROR(IF($K134 = "", "", INDEX(tblDocuments[Scope Group], $K134)), "")</f>
        <v/>
      </c>
      <c r="H134" s="10" t="str">
        <f>IFERROR(IF($K134 = "", "", IF(TRIM(INDEX(tblDocuments[Description], $K134) &amp; "") = "", "—", IF(LEN(TRIM(INDEX(tblDocuments[Description], $K134) &amp; "")) &gt; 165, LEFT(TRIM(INDEX(tblDocuments[Description], $K134) &amp; ""), 164) &amp; "…", TRIM(INDEX(tblDocuments[Description], $K134) &amp; "")))), "")</f>
        <v/>
      </c>
      <c r="K134" s="1" t="str">
        <f>IFERROR(IF(123 &gt; ResultCount, "", MATCH(LARGE(tblDocuments[Sort Key], 123), tblDocuments[Sort Key], 0)), "")</f>
        <v/>
      </c>
    </row>
    <row r="135" spans="5:11" ht="30" customHeight="1" x14ac:dyDescent="0.25">
      <c r="E135" s="9" t="str">
        <f>IFERROR(IF($K135 = "", "", IF(INDEX(tblDocuments[Link Out], $K135) = "", INDEX(tblDocuments[Display Name], $K135), HYPERLINK(INDEX(tblDocuments[Link Out], $K135), INDEX(tblDocuments[Display Name], $K135)))), "")</f>
        <v/>
      </c>
      <c r="F135" s="7" t="str">
        <f>IFERROR(IF($K135 = "", "", IF(TRIM(INDEX(tblDocuments[Document Type], $K135) &amp; "") = "", "—", TRIM(INDEX(tblDocuments[Document Type], $K135) &amp; ""))), "")</f>
        <v/>
      </c>
      <c r="G135" s="7" t="str">
        <f>IFERROR(IF($K135 = "", "", INDEX(tblDocuments[Scope Group], $K135)), "")</f>
        <v/>
      </c>
      <c r="H135" s="10" t="str">
        <f>IFERROR(IF($K135 = "", "", IF(TRIM(INDEX(tblDocuments[Description], $K135) &amp; "") = "", "—", IF(LEN(TRIM(INDEX(tblDocuments[Description], $K135) &amp; "")) &gt; 165, LEFT(TRIM(INDEX(tblDocuments[Description], $K135) &amp; ""), 164) &amp; "…", TRIM(INDEX(tblDocuments[Description], $K135) &amp; "")))), "")</f>
        <v/>
      </c>
      <c r="K135" s="1" t="str">
        <f>IFERROR(IF(124 &gt; ResultCount, "", MATCH(LARGE(tblDocuments[Sort Key], 124), tblDocuments[Sort Key], 0)), "")</f>
        <v/>
      </c>
    </row>
    <row r="136" spans="5:11" ht="30" customHeight="1" x14ac:dyDescent="0.25">
      <c r="E136" s="9" t="str">
        <f>IFERROR(IF($K136 = "", "", IF(INDEX(tblDocuments[Link Out], $K136) = "", INDEX(tblDocuments[Display Name], $K136), HYPERLINK(INDEX(tblDocuments[Link Out], $K136), INDEX(tblDocuments[Display Name], $K136)))), "")</f>
        <v/>
      </c>
      <c r="F136" s="7" t="str">
        <f>IFERROR(IF($K136 = "", "", IF(TRIM(INDEX(tblDocuments[Document Type], $K136) &amp; "") = "", "—", TRIM(INDEX(tblDocuments[Document Type], $K136) &amp; ""))), "")</f>
        <v/>
      </c>
      <c r="G136" s="7" t="str">
        <f>IFERROR(IF($K136 = "", "", INDEX(tblDocuments[Scope Group], $K136)), "")</f>
        <v/>
      </c>
      <c r="H136" s="10" t="str">
        <f>IFERROR(IF($K136 = "", "", IF(TRIM(INDEX(tblDocuments[Description], $K136) &amp; "") = "", "—", IF(LEN(TRIM(INDEX(tblDocuments[Description], $K136) &amp; "")) &gt; 165, LEFT(TRIM(INDEX(tblDocuments[Description], $K136) &amp; ""), 164) &amp; "…", TRIM(INDEX(tblDocuments[Description], $K136) &amp; "")))), "")</f>
        <v/>
      </c>
      <c r="K136" s="1" t="str">
        <f>IFERROR(IF(125 &gt; ResultCount, "", MATCH(LARGE(tblDocuments[Sort Key], 125), tblDocuments[Sort Key], 0)), "")</f>
        <v/>
      </c>
    </row>
    <row r="137" spans="5:11" ht="30" customHeight="1" x14ac:dyDescent="0.25">
      <c r="E137" s="9" t="str">
        <f>IFERROR(IF($K137 = "", "", IF(INDEX(tblDocuments[Link Out], $K137) = "", INDEX(tblDocuments[Display Name], $K137), HYPERLINK(INDEX(tblDocuments[Link Out], $K137), INDEX(tblDocuments[Display Name], $K137)))), "")</f>
        <v/>
      </c>
      <c r="F137" s="7" t="str">
        <f>IFERROR(IF($K137 = "", "", IF(TRIM(INDEX(tblDocuments[Document Type], $K137) &amp; "") = "", "—", TRIM(INDEX(tblDocuments[Document Type], $K137) &amp; ""))), "")</f>
        <v/>
      </c>
      <c r="G137" s="7" t="str">
        <f>IFERROR(IF($K137 = "", "", INDEX(tblDocuments[Scope Group], $K137)), "")</f>
        <v/>
      </c>
      <c r="H137" s="10" t="str">
        <f>IFERROR(IF($K137 = "", "", IF(TRIM(INDEX(tblDocuments[Description], $K137) &amp; "") = "", "—", IF(LEN(TRIM(INDEX(tblDocuments[Description], $K137) &amp; "")) &gt; 165, LEFT(TRIM(INDEX(tblDocuments[Description], $K137) &amp; ""), 164) &amp; "…", TRIM(INDEX(tblDocuments[Description], $K137) &amp; "")))), "")</f>
        <v/>
      </c>
      <c r="K137" s="1" t="str">
        <f>IFERROR(IF(126 &gt; ResultCount, "", MATCH(LARGE(tblDocuments[Sort Key], 126), tblDocuments[Sort Key], 0)), "")</f>
        <v/>
      </c>
    </row>
    <row r="138" spans="5:11" ht="30" customHeight="1" x14ac:dyDescent="0.25">
      <c r="E138" s="9" t="str">
        <f>IFERROR(IF($K138 = "", "", IF(INDEX(tblDocuments[Link Out], $K138) = "", INDEX(tblDocuments[Display Name], $K138), HYPERLINK(INDEX(tblDocuments[Link Out], $K138), INDEX(tblDocuments[Display Name], $K138)))), "")</f>
        <v/>
      </c>
      <c r="F138" s="7" t="str">
        <f>IFERROR(IF($K138 = "", "", IF(TRIM(INDEX(tblDocuments[Document Type], $K138) &amp; "") = "", "—", TRIM(INDEX(tblDocuments[Document Type], $K138) &amp; ""))), "")</f>
        <v/>
      </c>
      <c r="G138" s="7" t="str">
        <f>IFERROR(IF($K138 = "", "", INDEX(tblDocuments[Scope Group], $K138)), "")</f>
        <v/>
      </c>
      <c r="H138" s="10" t="str">
        <f>IFERROR(IF($K138 = "", "", IF(TRIM(INDEX(tblDocuments[Description], $K138) &amp; "") = "", "—", IF(LEN(TRIM(INDEX(tblDocuments[Description], $K138) &amp; "")) &gt; 165, LEFT(TRIM(INDEX(tblDocuments[Description], $K138) &amp; ""), 164) &amp; "…", TRIM(INDEX(tblDocuments[Description], $K138) &amp; "")))), "")</f>
        <v/>
      </c>
      <c r="K138" s="1" t="str">
        <f>IFERROR(IF(127 &gt; ResultCount, "", MATCH(LARGE(tblDocuments[Sort Key], 127), tblDocuments[Sort Key], 0)), "")</f>
        <v/>
      </c>
    </row>
    <row r="139" spans="5:11" ht="30" customHeight="1" x14ac:dyDescent="0.25">
      <c r="E139" s="9" t="str">
        <f>IFERROR(IF($K139 = "", "", IF(INDEX(tblDocuments[Link Out], $K139) = "", INDEX(tblDocuments[Display Name], $K139), HYPERLINK(INDEX(tblDocuments[Link Out], $K139), INDEX(tblDocuments[Display Name], $K139)))), "")</f>
        <v/>
      </c>
      <c r="F139" s="7" t="str">
        <f>IFERROR(IF($K139 = "", "", IF(TRIM(INDEX(tblDocuments[Document Type], $K139) &amp; "") = "", "—", TRIM(INDEX(tblDocuments[Document Type], $K139) &amp; ""))), "")</f>
        <v/>
      </c>
      <c r="G139" s="7" t="str">
        <f>IFERROR(IF($K139 = "", "", INDEX(tblDocuments[Scope Group], $K139)), "")</f>
        <v/>
      </c>
      <c r="H139" s="10" t="str">
        <f>IFERROR(IF($K139 = "", "", IF(TRIM(INDEX(tblDocuments[Description], $K139) &amp; "") = "", "—", IF(LEN(TRIM(INDEX(tblDocuments[Description], $K139) &amp; "")) &gt; 165, LEFT(TRIM(INDEX(tblDocuments[Description], $K139) &amp; ""), 164) &amp; "…", TRIM(INDEX(tblDocuments[Description], $K139) &amp; "")))), "")</f>
        <v/>
      </c>
      <c r="K139" s="1" t="str">
        <f>IFERROR(IF(128 &gt; ResultCount, "", MATCH(LARGE(tblDocuments[Sort Key], 128), tblDocuments[Sort Key], 0)), "")</f>
        <v/>
      </c>
    </row>
    <row r="140" spans="5:11" ht="30" customHeight="1" x14ac:dyDescent="0.25">
      <c r="E140" s="9" t="str">
        <f>IFERROR(IF($K140 = "", "", IF(INDEX(tblDocuments[Link Out], $K140) = "", INDEX(tblDocuments[Display Name], $K140), HYPERLINK(INDEX(tblDocuments[Link Out], $K140), INDEX(tblDocuments[Display Name], $K140)))), "")</f>
        <v/>
      </c>
      <c r="F140" s="7" t="str">
        <f>IFERROR(IF($K140 = "", "", IF(TRIM(INDEX(tblDocuments[Document Type], $K140) &amp; "") = "", "—", TRIM(INDEX(tblDocuments[Document Type], $K140) &amp; ""))), "")</f>
        <v/>
      </c>
      <c r="G140" s="7" t="str">
        <f>IFERROR(IF($K140 = "", "", INDEX(tblDocuments[Scope Group], $K140)), "")</f>
        <v/>
      </c>
      <c r="H140" s="10" t="str">
        <f>IFERROR(IF($K140 = "", "", IF(TRIM(INDEX(tblDocuments[Description], $K140) &amp; "") = "", "—", IF(LEN(TRIM(INDEX(tblDocuments[Description], $K140) &amp; "")) &gt; 165, LEFT(TRIM(INDEX(tblDocuments[Description], $K140) &amp; ""), 164) &amp; "…", TRIM(INDEX(tblDocuments[Description], $K140) &amp; "")))), "")</f>
        <v/>
      </c>
      <c r="K140" s="1" t="str">
        <f>IFERROR(IF(129 &gt; ResultCount, "", MATCH(LARGE(tblDocuments[Sort Key], 129), tblDocuments[Sort Key], 0)), "")</f>
        <v/>
      </c>
    </row>
    <row r="141" spans="5:11" ht="30" customHeight="1" x14ac:dyDescent="0.25">
      <c r="E141" s="9" t="str">
        <f>IFERROR(IF($K141 = "", "", IF(INDEX(tblDocuments[Link Out], $K141) = "", INDEX(tblDocuments[Display Name], $K141), HYPERLINK(INDEX(tblDocuments[Link Out], $K141), INDEX(tblDocuments[Display Name], $K141)))), "")</f>
        <v/>
      </c>
      <c r="F141" s="7" t="str">
        <f>IFERROR(IF($K141 = "", "", IF(TRIM(INDEX(tblDocuments[Document Type], $K141) &amp; "") = "", "—", TRIM(INDEX(tblDocuments[Document Type], $K141) &amp; ""))), "")</f>
        <v/>
      </c>
      <c r="G141" s="7" t="str">
        <f>IFERROR(IF($K141 = "", "", INDEX(tblDocuments[Scope Group], $K141)), "")</f>
        <v/>
      </c>
      <c r="H141" s="10" t="str">
        <f>IFERROR(IF($K141 = "", "", IF(TRIM(INDEX(tblDocuments[Description], $K141) &amp; "") = "", "—", IF(LEN(TRIM(INDEX(tblDocuments[Description], $K141) &amp; "")) &gt; 165, LEFT(TRIM(INDEX(tblDocuments[Description], $K141) &amp; ""), 164) &amp; "…", TRIM(INDEX(tblDocuments[Description], $K141) &amp; "")))), "")</f>
        <v/>
      </c>
      <c r="K141" s="1" t="str">
        <f>IFERROR(IF(130 &gt; ResultCount, "", MATCH(LARGE(tblDocuments[Sort Key], 130), tblDocuments[Sort Key], 0)), "")</f>
        <v/>
      </c>
    </row>
    <row r="142" spans="5:11" ht="30" customHeight="1" x14ac:dyDescent="0.25">
      <c r="E142" s="9" t="str">
        <f>IFERROR(IF($K142 = "", "", IF(INDEX(tblDocuments[Link Out], $K142) = "", INDEX(tblDocuments[Display Name], $K142), HYPERLINK(INDEX(tblDocuments[Link Out], $K142), INDEX(tblDocuments[Display Name], $K142)))), "")</f>
        <v/>
      </c>
      <c r="F142" s="7" t="str">
        <f>IFERROR(IF($K142 = "", "", IF(TRIM(INDEX(tblDocuments[Document Type], $K142) &amp; "") = "", "—", TRIM(INDEX(tblDocuments[Document Type], $K142) &amp; ""))), "")</f>
        <v/>
      </c>
      <c r="G142" s="7" t="str">
        <f>IFERROR(IF($K142 = "", "", INDEX(tblDocuments[Scope Group], $K142)), "")</f>
        <v/>
      </c>
      <c r="H142" s="10" t="str">
        <f>IFERROR(IF($K142 = "", "", IF(TRIM(INDEX(tblDocuments[Description], $K142) &amp; "") = "", "—", IF(LEN(TRIM(INDEX(tblDocuments[Description], $K142) &amp; "")) &gt; 165, LEFT(TRIM(INDEX(tblDocuments[Description], $K142) &amp; ""), 164) &amp; "…", TRIM(INDEX(tblDocuments[Description], $K142) &amp; "")))), "")</f>
        <v/>
      </c>
      <c r="K142" s="1" t="str">
        <f>IFERROR(IF(131 &gt; ResultCount, "", MATCH(LARGE(tblDocuments[Sort Key], 131), tblDocuments[Sort Key], 0)), "")</f>
        <v/>
      </c>
    </row>
    <row r="143" spans="5:11" ht="30" customHeight="1" x14ac:dyDescent="0.25">
      <c r="E143" s="9" t="str">
        <f>IFERROR(IF($K143 = "", "", IF(INDEX(tblDocuments[Link Out], $K143) = "", INDEX(tblDocuments[Display Name], $K143), HYPERLINK(INDEX(tblDocuments[Link Out], $K143), INDEX(tblDocuments[Display Name], $K143)))), "")</f>
        <v/>
      </c>
      <c r="F143" s="7" t="str">
        <f>IFERROR(IF($K143 = "", "", IF(TRIM(INDEX(tblDocuments[Document Type], $K143) &amp; "") = "", "—", TRIM(INDEX(tblDocuments[Document Type], $K143) &amp; ""))), "")</f>
        <v/>
      </c>
      <c r="G143" s="7" t="str">
        <f>IFERROR(IF($K143 = "", "", INDEX(tblDocuments[Scope Group], $K143)), "")</f>
        <v/>
      </c>
      <c r="H143" s="10" t="str">
        <f>IFERROR(IF($K143 = "", "", IF(TRIM(INDEX(tblDocuments[Description], $K143) &amp; "") = "", "—", IF(LEN(TRIM(INDEX(tblDocuments[Description], $K143) &amp; "")) &gt; 165, LEFT(TRIM(INDEX(tblDocuments[Description], $K143) &amp; ""), 164) &amp; "…", TRIM(INDEX(tblDocuments[Description], $K143) &amp; "")))), "")</f>
        <v/>
      </c>
      <c r="K143" s="1" t="str">
        <f>IFERROR(IF(132 &gt; ResultCount, "", MATCH(LARGE(tblDocuments[Sort Key], 132), tblDocuments[Sort Key], 0)), "")</f>
        <v/>
      </c>
    </row>
    <row r="144" spans="5:11" ht="30" customHeight="1" x14ac:dyDescent="0.25">
      <c r="E144" s="9" t="str">
        <f>IFERROR(IF($K144 = "", "", IF(INDEX(tblDocuments[Link Out], $K144) = "", INDEX(tblDocuments[Display Name], $K144), HYPERLINK(INDEX(tblDocuments[Link Out], $K144), INDEX(tblDocuments[Display Name], $K144)))), "")</f>
        <v/>
      </c>
      <c r="F144" s="7" t="str">
        <f>IFERROR(IF($K144 = "", "", IF(TRIM(INDEX(tblDocuments[Document Type], $K144) &amp; "") = "", "—", TRIM(INDEX(tblDocuments[Document Type], $K144) &amp; ""))), "")</f>
        <v/>
      </c>
      <c r="G144" s="7" t="str">
        <f>IFERROR(IF($K144 = "", "", INDEX(tblDocuments[Scope Group], $K144)), "")</f>
        <v/>
      </c>
      <c r="H144" s="10" t="str">
        <f>IFERROR(IF($K144 = "", "", IF(TRIM(INDEX(tblDocuments[Description], $K144) &amp; "") = "", "—", IF(LEN(TRIM(INDEX(tblDocuments[Description], $K144) &amp; "")) &gt; 165, LEFT(TRIM(INDEX(tblDocuments[Description], $K144) &amp; ""), 164) &amp; "…", TRIM(INDEX(tblDocuments[Description], $K144) &amp; "")))), "")</f>
        <v/>
      </c>
      <c r="K144" s="1" t="str">
        <f>IFERROR(IF(133 &gt; ResultCount, "", MATCH(LARGE(tblDocuments[Sort Key], 133), tblDocuments[Sort Key], 0)), "")</f>
        <v/>
      </c>
    </row>
    <row r="145" spans="5:11" ht="30" customHeight="1" x14ac:dyDescent="0.25">
      <c r="E145" s="9" t="str">
        <f>IFERROR(IF($K145 = "", "", IF(INDEX(tblDocuments[Link Out], $K145) = "", INDEX(tblDocuments[Display Name], $K145), HYPERLINK(INDEX(tblDocuments[Link Out], $K145), INDEX(tblDocuments[Display Name], $K145)))), "")</f>
        <v/>
      </c>
      <c r="F145" s="7" t="str">
        <f>IFERROR(IF($K145 = "", "", IF(TRIM(INDEX(tblDocuments[Document Type], $K145) &amp; "") = "", "—", TRIM(INDEX(tblDocuments[Document Type], $K145) &amp; ""))), "")</f>
        <v/>
      </c>
      <c r="G145" s="7" t="str">
        <f>IFERROR(IF($K145 = "", "", INDEX(tblDocuments[Scope Group], $K145)), "")</f>
        <v/>
      </c>
      <c r="H145" s="10" t="str">
        <f>IFERROR(IF($K145 = "", "", IF(TRIM(INDEX(tblDocuments[Description], $K145) &amp; "") = "", "—", IF(LEN(TRIM(INDEX(tblDocuments[Description], $K145) &amp; "")) &gt; 165, LEFT(TRIM(INDEX(tblDocuments[Description], $K145) &amp; ""), 164) &amp; "…", TRIM(INDEX(tblDocuments[Description], $K145) &amp; "")))), "")</f>
        <v/>
      </c>
      <c r="K145" s="1" t="str">
        <f>IFERROR(IF(134 &gt; ResultCount, "", MATCH(LARGE(tblDocuments[Sort Key], 134), tblDocuments[Sort Key], 0)), "")</f>
        <v/>
      </c>
    </row>
    <row r="146" spans="5:11" ht="30" customHeight="1" x14ac:dyDescent="0.25">
      <c r="E146" s="9" t="str">
        <f>IFERROR(IF($K146 = "", "", IF(INDEX(tblDocuments[Link Out], $K146) = "", INDEX(tblDocuments[Display Name], $K146), HYPERLINK(INDEX(tblDocuments[Link Out], $K146), INDEX(tblDocuments[Display Name], $K146)))), "")</f>
        <v/>
      </c>
      <c r="F146" s="7" t="str">
        <f>IFERROR(IF($K146 = "", "", IF(TRIM(INDEX(tblDocuments[Document Type], $K146) &amp; "") = "", "—", TRIM(INDEX(tblDocuments[Document Type], $K146) &amp; ""))), "")</f>
        <v/>
      </c>
      <c r="G146" s="7" t="str">
        <f>IFERROR(IF($K146 = "", "", INDEX(tblDocuments[Scope Group], $K146)), "")</f>
        <v/>
      </c>
      <c r="H146" s="10" t="str">
        <f>IFERROR(IF($K146 = "", "", IF(TRIM(INDEX(tblDocuments[Description], $K146) &amp; "") = "", "—", IF(LEN(TRIM(INDEX(tblDocuments[Description], $K146) &amp; "")) &gt; 165, LEFT(TRIM(INDEX(tblDocuments[Description], $K146) &amp; ""), 164) &amp; "…", TRIM(INDEX(tblDocuments[Description], $K146) &amp; "")))), "")</f>
        <v/>
      </c>
      <c r="K146" s="1" t="str">
        <f>IFERROR(IF(135 &gt; ResultCount, "", MATCH(LARGE(tblDocuments[Sort Key], 135), tblDocuments[Sort Key], 0)), "")</f>
        <v/>
      </c>
    </row>
    <row r="147" spans="5:11" ht="30" customHeight="1" x14ac:dyDescent="0.25">
      <c r="E147" s="9" t="str">
        <f>IFERROR(IF($K147 = "", "", IF(INDEX(tblDocuments[Link Out], $K147) = "", INDEX(tblDocuments[Display Name], $K147), HYPERLINK(INDEX(tblDocuments[Link Out], $K147), INDEX(tblDocuments[Display Name], $K147)))), "")</f>
        <v/>
      </c>
      <c r="F147" s="7" t="str">
        <f>IFERROR(IF($K147 = "", "", IF(TRIM(INDEX(tblDocuments[Document Type], $K147) &amp; "") = "", "—", TRIM(INDEX(tblDocuments[Document Type], $K147) &amp; ""))), "")</f>
        <v/>
      </c>
      <c r="G147" s="7" t="str">
        <f>IFERROR(IF($K147 = "", "", INDEX(tblDocuments[Scope Group], $K147)), "")</f>
        <v/>
      </c>
      <c r="H147" s="10" t="str">
        <f>IFERROR(IF($K147 = "", "", IF(TRIM(INDEX(tblDocuments[Description], $K147) &amp; "") = "", "—", IF(LEN(TRIM(INDEX(tblDocuments[Description], $K147) &amp; "")) &gt; 165, LEFT(TRIM(INDEX(tblDocuments[Description], $K147) &amp; ""), 164) &amp; "…", TRIM(INDEX(tblDocuments[Description], $K147) &amp; "")))), "")</f>
        <v/>
      </c>
      <c r="K147" s="1" t="str">
        <f>IFERROR(IF(136 &gt; ResultCount, "", MATCH(LARGE(tblDocuments[Sort Key], 136), tblDocuments[Sort Key], 0)), "")</f>
        <v/>
      </c>
    </row>
    <row r="148" spans="5:11" ht="30" customHeight="1" x14ac:dyDescent="0.25">
      <c r="E148" s="9" t="str">
        <f>IFERROR(IF($K148 = "", "", IF(INDEX(tblDocuments[Link Out], $K148) = "", INDEX(tblDocuments[Display Name], $K148), HYPERLINK(INDEX(tblDocuments[Link Out], $K148), INDEX(tblDocuments[Display Name], $K148)))), "")</f>
        <v/>
      </c>
      <c r="F148" s="7" t="str">
        <f>IFERROR(IF($K148 = "", "", IF(TRIM(INDEX(tblDocuments[Document Type], $K148) &amp; "") = "", "—", TRIM(INDEX(tblDocuments[Document Type], $K148) &amp; ""))), "")</f>
        <v/>
      </c>
      <c r="G148" s="7" t="str">
        <f>IFERROR(IF($K148 = "", "", INDEX(tblDocuments[Scope Group], $K148)), "")</f>
        <v/>
      </c>
      <c r="H148" s="10" t="str">
        <f>IFERROR(IF($K148 = "", "", IF(TRIM(INDEX(tblDocuments[Description], $K148) &amp; "") = "", "—", IF(LEN(TRIM(INDEX(tblDocuments[Description], $K148) &amp; "")) &gt; 165, LEFT(TRIM(INDEX(tblDocuments[Description], $K148) &amp; ""), 164) &amp; "…", TRIM(INDEX(tblDocuments[Description], $K148) &amp; "")))), "")</f>
        <v/>
      </c>
      <c r="K148" s="1" t="str">
        <f>IFERROR(IF(137 &gt; ResultCount, "", MATCH(LARGE(tblDocuments[Sort Key], 137), tblDocuments[Sort Key], 0)), "")</f>
        <v/>
      </c>
    </row>
    <row r="149" spans="5:11" ht="30" customHeight="1" x14ac:dyDescent="0.25">
      <c r="E149" s="9" t="str">
        <f>IFERROR(IF($K149 = "", "", IF(INDEX(tblDocuments[Link Out], $K149) = "", INDEX(tblDocuments[Display Name], $K149), HYPERLINK(INDEX(tblDocuments[Link Out], $K149), INDEX(tblDocuments[Display Name], $K149)))), "")</f>
        <v/>
      </c>
      <c r="F149" s="7" t="str">
        <f>IFERROR(IF($K149 = "", "", IF(TRIM(INDEX(tblDocuments[Document Type], $K149) &amp; "") = "", "—", TRIM(INDEX(tblDocuments[Document Type], $K149) &amp; ""))), "")</f>
        <v/>
      </c>
      <c r="G149" s="7" t="str">
        <f>IFERROR(IF($K149 = "", "", INDEX(tblDocuments[Scope Group], $K149)), "")</f>
        <v/>
      </c>
      <c r="H149" s="10" t="str">
        <f>IFERROR(IF($K149 = "", "", IF(TRIM(INDEX(tblDocuments[Description], $K149) &amp; "") = "", "—", IF(LEN(TRIM(INDEX(tblDocuments[Description], $K149) &amp; "")) &gt; 165, LEFT(TRIM(INDEX(tblDocuments[Description], $K149) &amp; ""), 164) &amp; "…", TRIM(INDEX(tblDocuments[Description], $K149) &amp; "")))), "")</f>
        <v/>
      </c>
      <c r="K149" s="1" t="str">
        <f>IFERROR(IF(138 &gt; ResultCount, "", MATCH(LARGE(tblDocuments[Sort Key], 138), tblDocuments[Sort Key], 0)), "")</f>
        <v/>
      </c>
    </row>
    <row r="150" spans="5:11" ht="30" customHeight="1" x14ac:dyDescent="0.25">
      <c r="E150" s="9" t="str">
        <f>IFERROR(IF($K150 = "", "", IF(INDEX(tblDocuments[Link Out], $K150) = "", INDEX(tblDocuments[Display Name], $K150), HYPERLINK(INDEX(tblDocuments[Link Out], $K150), INDEX(tblDocuments[Display Name], $K150)))), "")</f>
        <v/>
      </c>
      <c r="F150" s="7" t="str">
        <f>IFERROR(IF($K150 = "", "", IF(TRIM(INDEX(tblDocuments[Document Type], $K150) &amp; "") = "", "—", TRIM(INDEX(tblDocuments[Document Type], $K150) &amp; ""))), "")</f>
        <v/>
      </c>
      <c r="G150" s="7" t="str">
        <f>IFERROR(IF($K150 = "", "", INDEX(tblDocuments[Scope Group], $K150)), "")</f>
        <v/>
      </c>
      <c r="H150" s="10" t="str">
        <f>IFERROR(IF($K150 = "", "", IF(TRIM(INDEX(tblDocuments[Description], $K150) &amp; "") = "", "—", IF(LEN(TRIM(INDEX(tblDocuments[Description], $K150) &amp; "")) &gt; 165, LEFT(TRIM(INDEX(tblDocuments[Description], $K150) &amp; ""), 164) &amp; "…", TRIM(INDEX(tblDocuments[Description], $K150) &amp; "")))), "")</f>
        <v/>
      </c>
      <c r="K150" s="1" t="str">
        <f>IFERROR(IF(139 &gt; ResultCount, "", MATCH(LARGE(tblDocuments[Sort Key], 139), tblDocuments[Sort Key], 0)), "")</f>
        <v/>
      </c>
    </row>
    <row r="151" spans="5:11" ht="30" customHeight="1" x14ac:dyDescent="0.25">
      <c r="E151" s="9" t="str">
        <f>IFERROR(IF($K151 = "", "", IF(INDEX(tblDocuments[Link Out], $K151) = "", INDEX(tblDocuments[Display Name], $K151), HYPERLINK(INDEX(tblDocuments[Link Out], $K151), INDEX(tblDocuments[Display Name], $K151)))), "")</f>
        <v/>
      </c>
      <c r="F151" s="7" t="str">
        <f>IFERROR(IF($K151 = "", "", IF(TRIM(INDEX(tblDocuments[Document Type], $K151) &amp; "") = "", "—", TRIM(INDEX(tblDocuments[Document Type], $K151) &amp; ""))), "")</f>
        <v/>
      </c>
      <c r="G151" s="7" t="str">
        <f>IFERROR(IF($K151 = "", "", INDEX(tblDocuments[Scope Group], $K151)), "")</f>
        <v/>
      </c>
      <c r="H151" s="10" t="str">
        <f>IFERROR(IF($K151 = "", "", IF(TRIM(INDEX(tblDocuments[Description], $K151) &amp; "") = "", "—", IF(LEN(TRIM(INDEX(tblDocuments[Description], $K151) &amp; "")) &gt; 165, LEFT(TRIM(INDEX(tblDocuments[Description], $K151) &amp; ""), 164) &amp; "…", TRIM(INDEX(tblDocuments[Description], $K151) &amp; "")))), "")</f>
        <v/>
      </c>
      <c r="K151" s="1" t="str">
        <f>IFERROR(IF(140 &gt; ResultCount, "", MATCH(LARGE(tblDocuments[Sort Key], 140), tblDocuments[Sort Key], 0)), "")</f>
        <v/>
      </c>
    </row>
    <row r="152" spans="5:11" ht="30" customHeight="1" x14ac:dyDescent="0.25">
      <c r="E152" s="9" t="str">
        <f>IFERROR(IF($K152 = "", "", IF(INDEX(tblDocuments[Link Out], $K152) = "", INDEX(tblDocuments[Display Name], $K152), HYPERLINK(INDEX(tblDocuments[Link Out], $K152), INDEX(tblDocuments[Display Name], $K152)))), "")</f>
        <v/>
      </c>
      <c r="F152" s="7" t="str">
        <f>IFERROR(IF($K152 = "", "", IF(TRIM(INDEX(tblDocuments[Document Type], $K152) &amp; "") = "", "—", TRIM(INDEX(tblDocuments[Document Type], $K152) &amp; ""))), "")</f>
        <v/>
      </c>
      <c r="G152" s="7" t="str">
        <f>IFERROR(IF($K152 = "", "", INDEX(tblDocuments[Scope Group], $K152)), "")</f>
        <v/>
      </c>
      <c r="H152" s="10" t="str">
        <f>IFERROR(IF($K152 = "", "", IF(TRIM(INDEX(tblDocuments[Description], $K152) &amp; "") = "", "—", IF(LEN(TRIM(INDEX(tblDocuments[Description], $K152) &amp; "")) &gt; 165, LEFT(TRIM(INDEX(tblDocuments[Description], $K152) &amp; ""), 164) &amp; "…", TRIM(INDEX(tblDocuments[Description], $K152) &amp; "")))), "")</f>
        <v/>
      </c>
      <c r="K152" s="1" t="str">
        <f>IFERROR(IF(141 &gt; ResultCount, "", MATCH(LARGE(tblDocuments[Sort Key], 141), tblDocuments[Sort Key], 0)), "")</f>
        <v/>
      </c>
    </row>
    <row r="153" spans="5:11" ht="30" customHeight="1" x14ac:dyDescent="0.25">
      <c r="E153" s="9" t="str">
        <f>IFERROR(IF($K153 = "", "", IF(INDEX(tblDocuments[Link Out], $K153) = "", INDEX(tblDocuments[Display Name], $K153), HYPERLINK(INDEX(tblDocuments[Link Out], $K153), INDEX(tblDocuments[Display Name], $K153)))), "")</f>
        <v/>
      </c>
      <c r="F153" s="7" t="str">
        <f>IFERROR(IF($K153 = "", "", IF(TRIM(INDEX(tblDocuments[Document Type], $K153) &amp; "") = "", "—", TRIM(INDEX(tblDocuments[Document Type], $K153) &amp; ""))), "")</f>
        <v/>
      </c>
      <c r="G153" s="7" t="str">
        <f>IFERROR(IF($K153 = "", "", INDEX(tblDocuments[Scope Group], $K153)), "")</f>
        <v/>
      </c>
      <c r="H153" s="10" t="str">
        <f>IFERROR(IF($K153 = "", "", IF(TRIM(INDEX(tblDocuments[Description], $K153) &amp; "") = "", "—", IF(LEN(TRIM(INDEX(tblDocuments[Description], $K153) &amp; "")) &gt; 165, LEFT(TRIM(INDEX(tblDocuments[Description], $K153) &amp; ""), 164) &amp; "…", TRIM(INDEX(tblDocuments[Description], $K153) &amp; "")))), "")</f>
        <v/>
      </c>
      <c r="K153" s="1" t="str">
        <f>IFERROR(IF(142 &gt; ResultCount, "", MATCH(LARGE(tblDocuments[Sort Key], 142), tblDocuments[Sort Key], 0)), "")</f>
        <v/>
      </c>
    </row>
    <row r="154" spans="5:11" ht="30" customHeight="1" x14ac:dyDescent="0.25">
      <c r="E154" s="9" t="str">
        <f>IFERROR(IF($K154 = "", "", IF(INDEX(tblDocuments[Link Out], $K154) = "", INDEX(tblDocuments[Display Name], $K154), HYPERLINK(INDEX(tblDocuments[Link Out], $K154), INDEX(tblDocuments[Display Name], $K154)))), "")</f>
        <v/>
      </c>
      <c r="F154" s="7" t="str">
        <f>IFERROR(IF($K154 = "", "", IF(TRIM(INDEX(tblDocuments[Document Type], $K154) &amp; "") = "", "—", TRIM(INDEX(tblDocuments[Document Type], $K154) &amp; ""))), "")</f>
        <v/>
      </c>
      <c r="G154" s="7" t="str">
        <f>IFERROR(IF($K154 = "", "", INDEX(tblDocuments[Scope Group], $K154)), "")</f>
        <v/>
      </c>
      <c r="H154" s="10" t="str">
        <f>IFERROR(IF($K154 = "", "", IF(TRIM(INDEX(tblDocuments[Description], $K154) &amp; "") = "", "—", IF(LEN(TRIM(INDEX(tblDocuments[Description], $K154) &amp; "")) &gt; 165, LEFT(TRIM(INDEX(tblDocuments[Description], $K154) &amp; ""), 164) &amp; "…", TRIM(INDEX(tblDocuments[Description], $K154) &amp; "")))), "")</f>
        <v/>
      </c>
      <c r="K154" s="1" t="str">
        <f>IFERROR(IF(143 &gt; ResultCount, "", MATCH(LARGE(tblDocuments[Sort Key], 143), tblDocuments[Sort Key], 0)), "")</f>
        <v/>
      </c>
    </row>
    <row r="155" spans="5:11" ht="30" customHeight="1" x14ac:dyDescent="0.25">
      <c r="E155" s="9" t="str">
        <f>IFERROR(IF($K155 = "", "", IF(INDEX(tblDocuments[Link Out], $K155) = "", INDEX(tblDocuments[Display Name], $K155), HYPERLINK(INDEX(tblDocuments[Link Out], $K155), INDEX(tblDocuments[Display Name], $K155)))), "")</f>
        <v/>
      </c>
      <c r="F155" s="7" t="str">
        <f>IFERROR(IF($K155 = "", "", IF(TRIM(INDEX(tblDocuments[Document Type], $K155) &amp; "") = "", "—", TRIM(INDEX(tblDocuments[Document Type], $K155) &amp; ""))), "")</f>
        <v/>
      </c>
      <c r="G155" s="7" t="str">
        <f>IFERROR(IF($K155 = "", "", INDEX(tblDocuments[Scope Group], $K155)), "")</f>
        <v/>
      </c>
      <c r="H155" s="10" t="str">
        <f>IFERROR(IF($K155 = "", "", IF(TRIM(INDEX(tblDocuments[Description], $K155) &amp; "") = "", "—", IF(LEN(TRIM(INDEX(tblDocuments[Description], $K155) &amp; "")) &gt; 165, LEFT(TRIM(INDEX(tblDocuments[Description], $K155) &amp; ""), 164) &amp; "…", TRIM(INDEX(tblDocuments[Description], $K155) &amp; "")))), "")</f>
        <v/>
      </c>
      <c r="K155" s="1" t="str">
        <f>IFERROR(IF(144 &gt; ResultCount, "", MATCH(LARGE(tblDocuments[Sort Key], 144), tblDocuments[Sort Key], 0)), "")</f>
        <v/>
      </c>
    </row>
    <row r="156" spans="5:11" ht="30" customHeight="1" x14ac:dyDescent="0.25">
      <c r="E156" s="9" t="str">
        <f>IFERROR(IF($K156 = "", "", IF(INDEX(tblDocuments[Link Out], $K156) = "", INDEX(tblDocuments[Display Name], $K156), HYPERLINK(INDEX(tblDocuments[Link Out], $K156), INDEX(tblDocuments[Display Name], $K156)))), "")</f>
        <v/>
      </c>
      <c r="F156" s="7" t="str">
        <f>IFERROR(IF($K156 = "", "", IF(TRIM(INDEX(tblDocuments[Document Type], $K156) &amp; "") = "", "—", TRIM(INDEX(tblDocuments[Document Type], $K156) &amp; ""))), "")</f>
        <v/>
      </c>
      <c r="G156" s="7" t="str">
        <f>IFERROR(IF($K156 = "", "", INDEX(tblDocuments[Scope Group], $K156)), "")</f>
        <v/>
      </c>
      <c r="H156" s="10" t="str">
        <f>IFERROR(IF($K156 = "", "", IF(TRIM(INDEX(tblDocuments[Description], $K156) &amp; "") = "", "—", IF(LEN(TRIM(INDEX(tblDocuments[Description], $K156) &amp; "")) &gt; 165, LEFT(TRIM(INDEX(tblDocuments[Description], $K156) &amp; ""), 164) &amp; "…", TRIM(INDEX(tblDocuments[Description], $K156) &amp; "")))), "")</f>
        <v/>
      </c>
      <c r="K156" s="1" t="str">
        <f>IFERROR(IF(145 &gt; ResultCount, "", MATCH(LARGE(tblDocuments[Sort Key], 145), tblDocuments[Sort Key], 0)), "")</f>
        <v/>
      </c>
    </row>
    <row r="157" spans="5:11" ht="30" customHeight="1" x14ac:dyDescent="0.25">
      <c r="E157" s="9" t="str">
        <f>IFERROR(IF($K157 = "", "", IF(INDEX(tblDocuments[Link Out], $K157) = "", INDEX(tblDocuments[Display Name], $K157), HYPERLINK(INDEX(tblDocuments[Link Out], $K157), INDEX(tblDocuments[Display Name], $K157)))), "")</f>
        <v/>
      </c>
      <c r="F157" s="7" t="str">
        <f>IFERROR(IF($K157 = "", "", IF(TRIM(INDEX(tblDocuments[Document Type], $K157) &amp; "") = "", "—", TRIM(INDEX(tblDocuments[Document Type], $K157) &amp; ""))), "")</f>
        <v/>
      </c>
      <c r="G157" s="7" t="str">
        <f>IFERROR(IF($K157 = "", "", INDEX(tblDocuments[Scope Group], $K157)), "")</f>
        <v/>
      </c>
      <c r="H157" s="10" t="str">
        <f>IFERROR(IF($K157 = "", "", IF(TRIM(INDEX(tblDocuments[Description], $K157) &amp; "") = "", "—", IF(LEN(TRIM(INDEX(tblDocuments[Description], $K157) &amp; "")) &gt; 165, LEFT(TRIM(INDEX(tblDocuments[Description], $K157) &amp; ""), 164) &amp; "…", TRIM(INDEX(tblDocuments[Description], $K157) &amp; "")))), "")</f>
        <v/>
      </c>
      <c r="K157" s="1" t="str">
        <f>IFERROR(IF(146 &gt; ResultCount, "", MATCH(LARGE(tblDocuments[Sort Key], 146), tblDocuments[Sort Key], 0)), "")</f>
        <v/>
      </c>
    </row>
    <row r="158" spans="5:11" ht="30" customHeight="1" x14ac:dyDescent="0.25">
      <c r="E158" s="9" t="str">
        <f>IFERROR(IF($K158 = "", "", IF(INDEX(tblDocuments[Link Out], $K158) = "", INDEX(tblDocuments[Display Name], $K158), HYPERLINK(INDEX(tblDocuments[Link Out], $K158), INDEX(tblDocuments[Display Name], $K158)))), "")</f>
        <v/>
      </c>
      <c r="F158" s="7" t="str">
        <f>IFERROR(IF($K158 = "", "", IF(TRIM(INDEX(tblDocuments[Document Type], $K158) &amp; "") = "", "—", TRIM(INDEX(tblDocuments[Document Type], $K158) &amp; ""))), "")</f>
        <v/>
      </c>
      <c r="G158" s="7" t="str">
        <f>IFERROR(IF($K158 = "", "", INDEX(tblDocuments[Scope Group], $K158)), "")</f>
        <v/>
      </c>
      <c r="H158" s="10" t="str">
        <f>IFERROR(IF($K158 = "", "", IF(TRIM(INDEX(tblDocuments[Description], $K158) &amp; "") = "", "—", IF(LEN(TRIM(INDEX(tblDocuments[Description], $K158) &amp; "")) &gt; 165, LEFT(TRIM(INDEX(tblDocuments[Description], $K158) &amp; ""), 164) &amp; "…", TRIM(INDEX(tblDocuments[Description], $K158) &amp; "")))), "")</f>
        <v/>
      </c>
      <c r="K158" s="1" t="str">
        <f>IFERROR(IF(147 &gt; ResultCount, "", MATCH(LARGE(tblDocuments[Sort Key], 147), tblDocuments[Sort Key], 0)), "")</f>
        <v/>
      </c>
    </row>
    <row r="159" spans="5:11" ht="30" customHeight="1" x14ac:dyDescent="0.25">
      <c r="E159" s="9" t="str">
        <f>IFERROR(IF($K159 = "", "", IF(INDEX(tblDocuments[Link Out], $K159) = "", INDEX(tblDocuments[Display Name], $K159), HYPERLINK(INDEX(tblDocuments[Link Out], $K159), INDEX(tblDocuments[Display Name], $K159)))), "")</f>
        <v/>
      </c>
      <c r="F159" s="7" t="str">
        <f>IFERROR(IF($K159 = "", "", IF(TRIM(INDEX(tblDocuments[Document Type], $K159) &amp; "") = "", "—", TRIM(INDEX(tblDocuments[Document Type], $K159) &amp; ""))), "")</f>
        <v/>
      </c>
      <c r="G159" s="7" t="str">
        <f>IFERROR(IF($K159 = "", "", INDEX(tblDocuments[Scope Group], $K159)), "")</f>
        <v/>
      </c>
      <c r="H159" s="10" t="str">
        <f>IFERROR(IF($K159 = "", "", IF(TRIM(INDEX(tblDocuments[Description], $K159) &amp; "") = "", "—", IF(LEN(TRIM(INDEX(tblDocuments[Description], $K159) &amp; "")) &gt; 165, LEFT(TRIM(INDEX(tblDocuments[Description], $K159) &amp; ""), 164) &amp; "…", TRIM(INDEX(tblDocuments[Description], $K159) &amp; "")))), "")</f>
        <v/>
      </c>
      <c r="K159" s="1" t="str">
        <f>IFERROR(IF(148 &gt; ResultCount, "", MATCH(LARGE(tblDocuments[Sort Key], 148), tblDocuments[Sort Key], 0)), "")</f>
        <v/>
      </c>
    </row>
    <row r="160" spans="5:11" ht="30" customHeight="1" x14ac:dyDescent="0.25">
      <c r="E160" s="9" t="str">
        <f>IFERROR(IF($K160 = "", "", IF(INDEX(tblDocuments[Link Out], $K160) = "", INDEX(tblDocuments[Display Name], $K160), HYPERLINK(INDEX(tblDocuments[Link Out], $K160), INDEX(tblDocuments[Display Name], $K160)))), "")</f>
        <v/>
      </c>
      <c r="F160" s="7" t="str">
        <f>IFERROR(IF($K160 = "", "", IF(TRIM(INDEX(tblDocuments[Document Type], $K160) &amp; "") = "", "—", TRIM(INDEX(tblDocuments[Document Type], $K160) &amp; ""))), "")</f>
        <v/>
      </c>
      <c r="G160" s="7" t="str">
        <f>IFERROR(IF($K160 = "", "", INDEX(tblDocuments[Scope Group], $K160)), "")</f>
        <v/>
      </c>
      <c r="H160" s="10" t="str">
        <f>IFERROR(IF($K160 = "", "", IF(TRIM(INDEX(tblDocuments[Description], $K160) &amp; "") = "", "—", IF(LEN(TRIM(INDEX(tblDocuments[Description], $K160) &amp; "")) &gt; 165, LEFT(TRIM(INDEX(tblDocuments[Description], $K160) &amp; ""), 164) &amp; "…", TRIM(INDEX(tblDocuments[Description], $K160) &amp; "")))), "")</f>
        <v/>
      </c>
      <c r="K160" s="1" t="str">
        <f>IFERROR(IF(149 &gt; ResultCount, "", MATCH(LARGE(tblDocuments[Sort Key], 149), tblDocuments[Sort Key], 0)), "")</f>
        <v/>
      </c>
    </row>
    <row r="161" spans="5:11" ht="30" customHeight="1" x14ac:dyDescent="0.25">
      <c r="E161" s="9" t="str">
        <f>IFERROR(IF($K161 = "", "", IF(INDEX(tblDocuments[Link Out], $K161) = "", INDEX(tblDocuments[Display Name], $K161), HYPERLINK(INDEX(tblDocuments[Link Out], $K161), INDEX(tblDocuments[Display Name], $K161)))), "")</f>
        <v/>
      </c>
      <c r="F161" s="7" t="str">
        <f>IFERROR(IF($K161 = "", "", IF(TRIM(INDEX(tblDocuments[Document Type], $K161) &amp; "") = "", "—", TRIM(INDEX(tblDocuments[Document Type], $K161) &amp; ""))), "")</f>
        <v/>
      </c>
      <c r="G161" s="7" t="str">
        <f>IFERROR(IF($K161 = "", "", INDEX(tblDocuments[Scope Group], $K161)), "")</f>
        <v/>
      </c>
      <c r="H161" s="10" t="str">
        <f>IFERROR(IF($K161 = "", "", IF(TRIM(INDEX(tblDocuments[Description], $K161) &amp; "") = "", "—", IF(LEN(TRIM(INDEX(tblDocuments[Description], $K161) &amp; "")) &gt; 165, LEFT(TRIM(INDEX(tblDocuments[Description], $K161) &amp; ""), 164) &amp; "…", TRIM(INDEX(tblDocuments[Description], $K161) &amp; "")))), "")</f>
        <v/>
      </c>
      <c r="K161" s="1" t="str">
        <f>IFERROR(IF(150 &gt; ResultCount, "", MATCH(LARGE(tblDocuments[Sort Key], 150), tblDocuments[Sort Key], 0)), "")</f>
        <v/>
      </c>
    </row>
    <row r="162" spans="5:11" ht="30" customHeight="1" x14ac:dyDescent="0.25">
      <c r="E162" s="9" t="str">
        <f>IFERROR(IF($K162 = "", "", IF(INDEX(tblDocuments[Link Out], $K162) = "", INDEX(tblDocuments[Display Name], $K162), HYPERLINK(INDEX(tblDocuments[Link Out], $K162), INDEX(tblDocuments[Display Name], $K162)))), "")</f>
        <v/>
      </c>
      <c r="F162" s="7" t="str">
        <f>IFERROR(IF($K162 = "", "", IF(TRIM(INDEX(tblDocuments[Document Type], $K162) &amp; "") = "", "—", TRIM(INDEX(tblDocuments[Document Type], $K162) &amp; ""))), "")</f>
        <v/>
      </c>
      <c r="G162" s="7" t="str">
        <f>IFERROR(IF($K162 = "", "", INDEX(tblDocuments[Scope Group], $K162)), "")</f>
        <v/>
      </c>
      <c r="H162" s="10" t="str">
        <f>IFERROR(IF($K162 = "", "", IF(TRIM(INDEX(tblDocuments[Description], $K162) &amp; "") = "", "—", IF(LEN(TRIM(INDEX(tblDocuments[Description], $K162) &amp; "")) &gt; 165, LEFT(TRIM(INDEX(tblDocuments[Description], $K162) &amp; ""), 164) &amp; "…", TRIM(INDEX(tblDocuments[Description], $K162) &amp; "")))), "")</f>
        <v/>
      </c>
      <c r="K162" s="1" t="str">
        <f>IFERROR(IF(151 &gt; ResultCount, "", MATCH(LARGE(tblDocuments[Sort Key], 151), tblDocuments[Sort Key], 0)), "")</f>
        <v/>
      </c>
    </row>
    <row r="163" spans="5:11" ht="30" customHeight="1" x14ac:dyDescent="0.25">
      <c r="E163" s="9" t="str">
        <f>IFERROR(IF($K163 = "", "", IF(INDEX(tblDocuments[Link Out], $K163) = "", INDEX(tblDocuments[Display Name], $K163), HYPERLINK(INDEX(tblDocuments[Link Out], $K163), INDEX(tblDocuments[Display Name], $K163)))), "")</f>
        <v/>
      </c>
      <c r="F163" s="7" t="str">
        <f>IFERROR(IF($K163 = "", "", IF(TRIM(INDEX(tblDocuments[Document Type], $K163) &amp; "") = "", "—", TRIM(INDEX(tblDocuments[Document Type], $K163) &amp; ""))), "")</f>
        <v/>
      </c>
      <c r="G163" s="7" t="str">
        <f>IFERROR(IF($K163 = "", "", INDEX(tblDocuments[Scope Group], $K163)), "")</f>
        <v/>
      </c>
      <c r="H163" s="10" t="str">
        <f>IFERROR(IF($K163 = "", "", IF(TRIM(INDEX(tblDocuments[Description], $K163) &amp; "") = "", "—", IF(LEN(TRIM(INDEX(tblDocuments[Description], $K163) &amp; "")) &gt; 165, LEFT(TRIM(INDEX(tblDocuments[Description], $K163) &amp; ""), 164) &amp; "…", TRIM(INDEX(tblDocuments[Description], $K163) &amp; "")))), "")</f>
        <v/>
      </c>
      <c r="K163" s="1" t="str">
        <f>IFERROR(IF(152 &gt; ResultCount, "", MATCH(LARGE(tblDocuments[Sort Key], 152), tblDocuments[Sort Key], 0)), "")</f>
        <v/>
      </c>
    </row>
    <row r="164" spans="5:11" ht="30" customHeight="1" x14ac:dyDescent="0.25">
      <c r="E164" s="9" t="str">
        <f>IFERROR(IF($K164 = "", "", IF(INDEX(tblDocuments[Link Out], $K164) = "", INDEX(tblDocuments[Display Name], $K164), HYPERLINK(INDEX(tblDocuments[Link Out], $K164), INDEX(tblDocuments[Display Name], $K164)))), "")</f>
        <v/>
      </c>
      <c r="F164" s="7" t="str">
        <f>IFERROR(IF($K164 = "", "", IF(TRIM(INDEX(tblDocuments[Document Type], $K164) &amp; "") = "", "—", TRIM(INDEX(tblDocuments[Document Type], $K164) &amp; ""))), "")</f>
        <v/>
      </c>
      <c r="G164" s="7" t="str">
        <f>IFERROR(IF($K164 = "", "", INDEX(tblDocuments[Scope Group], $K164)), "")</f>
        <v/>
      </c>
      <c r="H164" s="10" t="str">
        <f>IFERROR(IF($K164 = "", "", IF(TRIM(INDEX(tblDocuments[Description], $K164) &amp; "") = "", "—", IF(LEN(TRIM(INDEX(tblDocuments[Description], $K164) &amp; "")) &gt; 165, LEFT(TRIM(INDEX(tblDocuments[Description], $K164) &amp; ""), 164) &amp; "…", TRIM(INDEX(tblDocuments[Description], $K164) &amp; "")))), "")</f>
        <v/>
      </c>
      <c r="K164" s="1" t="str">
        <f>IFERROR(IF(153 &gt; ResultCount, "", MATCH(LARGE(tblDocuments[Sort Key], 153), tblDocuments[Sort Key], 0)), "")</f>
        <v/>
      </c>
    </row>
    <row r="165" spans="5:11" ht="30" customHeight="1" x14ac:dyDescent="0.25">
      <c r="E165" s="9" t="str">
        <f>IFERROR(IF($K165 = "", "", IF(INDEX(tblDocuments[Link Out], $K165) = "", INDEX(tblDocuments[Display Name], $K165), HYPERLINK(INDEX(tblDocuments[Link Out], $K165), INDEX(tblDocuments[Display Name], $K165)))), "")</f>
        <v/>
      </c>
      <c r="F165" s="7" t="str">
        <f>IFERROR(IF($K165 = "", "", IF(TRIM(INDEX(tblDocuments[Document Type], $K165) &amp; "") = "", "—", TRIM(INDEX(tblDocuments[Document Type], $K165) &amp; ""))), "")</f>
        <v/>
      </c>
      <c r="G165" s="7" t="str">
        <f>IFERROR(IF($K165 = "", "", INDEX(tblDocuments[Scope Group], $K165)), "")</f>
        <v/>
      </c>
      <c r="H165" s="10" t="str">
        <f>IFERROR(IF($K165 = "", "", IF(TRIM(INDEX(tblDocuments[Description], $K165) &amp; "") = "", "—", IF(LEN(TRIM(INDEX(tblDocuments[Description], $K165) &amp; "")) &gt; 165, LEFT(TRIM(INDEX(tblDocuments[Description], $K165) &amp; ""), 164) &amp; "…", TRIM(INDEX(tblDocuments[Description], $K165) &amp; "")))), "")</f>
        <v/>
      </c>
      <c r="K165" s="1" t="str">
        <f>IFERROR(IF(154 &gt; ResultCount, "", MATCH(LARGE(tblDocuments[Sort Key], 154), tblDocuments[Sort Key], 0)), "")</f>
        <v/>
      </c>
    </row>
    <row r="166" spans="5:11" ht="30" customHeight="1" x14ac:dyDescent="0.25">
      <c r="E166" s="9" t="str">
        <f>IFERROR(IF($K166 = "", "", IF(INDEX(tblDocuments[Link Out], $K166) = "", INDEX(tblDocuments[Display Name], $K166), HYPERLINK(INDEX(tblDocuments[Link Out], $K166), INDEX(tblDocuments[Display Name], $K166)))), "")</f>
        <v/>
      </c>
      <c r="F166" s="7" t="str">
        <f>IFERROR(IF($K166 = "", "", IF(TRIM(INDEX(tblDocuments[Document Type], $K166) &amp; "") = "", "—", TRIM(INDEX(tblDocuments[Document Type], $K166) &amp; ""))), "")</f>
        <v/>
      </c>
      <c r="G166" s="7" t="str">
        <f>IFERROR(IF($K166 = "", "", INDEX(tblDocuments[Scope Group], $K166)), "")</f>
        <v/>
      </c>
      <c r="H166" s="10" t="str">
        <f>IFERROR(IF($K166 = "", "", IF(TRIM(INDEX(tblDocuments[Description], $K166) &amp; "") = "", "—", IF(LEN(TRIM(INDEX(tblDocuments[Description], $K166) &amp; "")) &gt; 165, LEFT(TRIM(INDEX(tblDocuments[Description], $K166) &amp; ""), 164) &amp; "…", TRIM(INDEX(tblDocuments[Description], $K166) &amp; "")))), "")</f>
        <v/>
      </c>
      <c r="K166" s="1" t="str">
        <f>IFERROR(IF(155 &gt; ResultCount, "", MATCH(LARGE(tblDocuments[Sort Key], 155), tblDocuments[Sort Key], 0)), "")</f>
        <v/>
      </c>
    </row>
    <row r="167" spans="5:11" ht="30" customHeight="1" x14ac:dyDescent="0.25">
      <c r="E167" s="9" t="str">
        <f>IFERROR(IF($K167 = "", "", IF(INDEX(tblDocuments[Link Out], $K167) = "", INDEX(tblDocuments[Display Name], $K167), HYPERLINK(INDEX(tblDocuments[Link Out], $K167), INDEX(tblDocuments[Display Name], $K167)))), "")</f>
        <v/>
      </c>
      <c r="F167" s="7" t="str">
        <f>IFERROR(IF($K167 = "", "", IF(TRIM(INDEX(tblDocuments[Document Type], $K167) &amp; "") = "", "—", TRIM(INDEX(tblDocuments[Document Type], $K167) &amp; ""))), "")</f>
        <v/>
      </c>
      <c r="G167" s="7" t="str">
        <f>IFERROR(IF($K167 = "", "", INDEX(tblDocuments[Scope Group], $K167)), "")</f>
        <v/>
      </c>
      <c r="H167" s="10" t="str">
        <f>IFERROR(IF($K167 = "", "", IF(TRIM(INDEX(tblDocuments[Description], $K167) &amp; "") = "", "—", IF(LEN(TRIM(INDEX(tblDocuments[Description], $K167) &amp; "")) &gt; 165, LEFT(TRIM(INDEX(tblDocuments[Description], $K167) &amp; ""), 164) &amp; "…", TRIM(INDEX(tblDocuments[Description], $K167) &amp; "")))), "")</f>
        <v/>
      </c>
      <c r="K167" s="1" t="str">
        <f>IFERROR(IF(156 &gt; ResultCount, "", MATCH(LARGE(tblDocuments[Sort Key], 156), tblDocuments[Sort Key], 0)), "")</f>
        <v/>
      </c>
    </row>
    <row r="168" spans="5:11" ht="30" customHeight="1" x14ac:dyDescent="0.25">
      <c r="E168" s="9" t="str">
        <f>IFERROR(IF($K168 = "", "", IF(INDEX(tblDocuments[Link Out], $K168) = "", INDEX(tblDocuments[Display Name], $K168), HYPERLINK(INDEX(tblDocuments[Link Out], $K168), INDEX(tblDocuments[Display Name], $K168)))), "")</f>
        <v/>
      </c>
      <c r="F168" s="7" t="str">
        <f>IFERROR(IF($K168 = "", "", IF(TRIM(INDEX(tblDocuments[Document Type], $K168) &amp; "") = "", "—", TRIM(INDEX(tblDocuments[Document Type], $K168) &amp; ""))), "")</f>
        <v/>
      </c>
      <c r="G168" s="7" t="str">
        <f>IFERROR(IF($K168 = "", "", INDEX(tblDocuments[Scope Group], $K168)), "")</f>
        <v/>
      </c>
      <c r="H168" s="10" t="str">
        <f>IFERROR(IF($K168 = "", "", IF(TRIM(INDEX(tblDocuments[Description], $K168) &amp; "") = "", "—", IF(LEN(TRIM(INDEX(tblDocuments[Description], $K168) &amp; "")) &gt; 165, LEFT(TRIM(INDEX(tblDocuments[Description], $K168) &amp; ""), 164) &amp; "…", TRIM(INDEX(tblDocuments[Description], $K168) &amp; "")))), "")</f>
        <v/>
      </c>
      <c r="K168" s="1" t="str">
        <f>IFERROR(IF(157 &gt; ResultCount, "", MATCH(LARGE(tblDocuments[Sort Key], 157), tblDocuments[Sort Key], 0)), "")</f>
        <v/>
      </c>
    </row>
    <row r="169" spans="5:11" ht="30" customHeight="1" x14ac:dyDescent="0.25">
      <c r="E169" s="9" t="str">
        <f>IFERROR(IF($K169 = "", "", IF(INDEX(tblDocuments[Link Out], $K169) = "", INDEX(tblDocuments[Display Name], $K169), HYPERLINK(INDEX(tblDocuments[Link Out], $K169), INDEX(tblDocuments[Display Name], $K169)))), "")</f>
        <v/>
      </c>
      <c r="F169" s="7" t="str">
        <f>IFERROR(IF($K169 = "", "", IF(TRIM(INDEX(tblDocuments[Document Type], $K169) &amp; "") = "", "—", TRIM(INDEX(tblDocuments[Document Type], $K169) &amp; ""))), "")</f>
        <v/>
      </c>
      <c r="G169" s="7" t="str">
        <f>IFERROR(IF($K169 = "", "", INDEX(tblDocuments[Scope Group], $K169)), "")</f>
        <v/>
      </c>
      <c r="H169" s="10" t="str">
        <f>IFERROR(IF($K169 = "", "", IF(TRIM(INDEX(tblDocuments[Description], $K169) &amp; "") = "", "—", IF(LEN(TRIM(INDEX(tblDocuments[Description], $K169) &amp; "")) &gt; 165, LEFT(TRIM(INDEX(tblDocuments[Description], $K169) &amp; ""), 164) &amp; "…", TRIM(INDEX(tblDocuments[Description], $K169) &amp; "")))), "")</f>
        <v/>
      </c>
      <c r="K169" s="1" t="str">
        <f>IFERROR(IF(158 &gt; ResultCount, "", MATCH(LARGE(tblDocuments[Sort Key], 158), tblDocuments[Sort Key], 0)), "")</f>
        <v/>
      </c>
    </row>
    <row r="170" spans="5:11" ht="30" customHeight="1" x14ac:dyDescent="0.25">
      <c r="E170" s="9" t="str">
        <f>IFERROR(IF($K170 = "", "", IF(INDEX(tblDocuments[Link Out], $K170) = "", INDEX(tblDocuments[Display Name], $K170), HYPERLINK(INDEX(tblDocuments[Link Out], $K170), INDEX(tblDocuments[Display Name], $K170)))), "")</f>
        <v/>
      </c>
      <c r="F170" s="7" t="str">
        <f>IFERROR(IF($K170 = "", "", IF(TRIM(INDEX(tblDocuments[Document Type], $K170) &amp; "") = "", "—", TRIM(INDEX(tblDocuments[Document Type], $K170) &amp; ""))), "")</f>
        <v/>
      </c>
      <c r="G170" s="7" t="str">
        <f>IFERROR(IF($K170 = "", "", INDEX(tblDocuments[Scope Group], $K170)), "")</f>
        <v/>
      </c>
      <c r="H170" s="10" t="str">
        <f>IFERROR(IF($K170 = "", "", IF(TRIM(INDEX(tblDocuments[Description], $K170) &amp; "") = "", "—", IF(LEN(TRIM(INDEX(tblDocuments[Description], $K170) &amp; "")) &gt; 165, LEFT(TRIM(INDEX(tblDocuments[Description], $K170) &amp; ""), 164) &amp; "…", TRIM(INDEX(tblDocuments[Description], $K170) &amp; "")))), "")</f>
        <v/>
      </c>
      <c r="K170" s="1" t="str">
        <f>IFERROR(IF(159 &gt; ResultCount, "", MATCH(LARGE(tblDocuments[Sort Key], 159), tblDocuments[Sort Key], 0)), "")</f>
        <v/>
      </c>
    </row>
    <row r="171" spans="5:11" ht="30" customHeight="1" x14ac:dyDescent="0.25">
      <c r="E171" s="9" t="str">
        <f>IFERROR(IF($K171 = "", "", IF(INDEX(tblDocuments[Link Out], $K171) = "", INDEX(tblDocuments[Display Name], $K171), HYPERLINK(INDEX(tblDocuments[Link Out], $K171), INDEX(tblDocuments[Display Name], $K171)))), "")</f>
        <v/>
      </c>
      <c r="F171" s="7" t="str">
        <f>IFERROR(IF($K171 = "", "", IF(TRIM(INDEX(tblDocuments[Document Type], $K171) &amp; "") = "", "—", TRIM(INDEX(tblDocuments[Document Type], $K171) &amp; ""))), "")</f>
        <v/>
      </c>
      <c r="G171" s="7" t="str">
        <f>IFERROR(IF($K171 = "", "", INDEX(tblDocuments[Scope Group], $K171)), "")</f>
        <v/>
      </c>
      <c r="H171" s="10" t="str">
        <f>IFERROR(IF($K171 = "", "", IF(TRIM(INDEX(tblDocuments[Description], $K171) &amp; "") = "", "—", IF(LEN(TRIM(INDEX(tblDocuments[Description], $K171) &amp; "")) &gt; 165, LEFT(TRIM(INDEX(tblDocuments[Description], $K171) &amp; ""), 164) &amp; "…", TRIM(INDEX(tblDocuments[Description], $K171) &amp; "")))), "")</f>
        <v/>
      </c>
      <c r="K171" s="1" t="str">
        <f>IFERROR(IF(160 &gt; ResultCount, "", MATCH(LARGE(tblDocuments[Sort Key], 160), tblDocuments[Sort Key], 0)), "")</f>
        <v/>
      </c>
    </row>
    <row r="172" spans="5:11" ht="30" customHeight="1" x14ac:dyDescent="0.25">
      <c r="E172" s="9" t="str">
        <f>IFERROR(IF($K172 = "", "", IF(INDEX(tblDocuments[Link Out], $K172) = "", INDEX(tblDocuments[Display Name], $K172), HYPERLINK(INDEX(tblDocuments[Link Out], $K172), INDEX(tblDocuments[Display Name], $K172)))), "")</f>
        <v/>
      </c>
      <c r="F172" s="7" t="str">
        <f>IFERROR(IF($K172 = "", "", IF(TRIM(INDEX(tblDocuments[Document Type], $K172) &amp; "") = "", "—", TRIM(INDEX(tblDocuments[Document Type], $K172) &amp; ""))), "")</f>
        <v/>
      </c>
      <c r="G172" s="7" t="str">
        <f>IFERROR(IF($K172 = "", "", INDEX(tblDocuments[Scope Group], $K172)), "")</f>
        <v/>
      </c>
      <c r="H172" s="10" t="str">
        <f>IFERROR(IF($K172 = "", "", IF(TRIM(INDEX(tblDocuments[Description], $K172) &amp; "") = "", "—", IF(LEN(TRIM(INDEX(tblDocuments[Description], $K172) &amp; "")) &gt; 165, LEFT(TRIM(INDEX(tblDocuments[Description], $K172) &amp; ""), 164) &amp; "…", TRIM(INDEX(tblDocuments[Description], $K172) &amp; "")))), "")</f>
        <v/>
      </c>
      <c r="K172" s="1" t="str">
        <f>IFERROR(IF(161 &gt; ResultCount, "", MATCH(LARGE(tblDocuments[Sort Key], 161), tblDocuments[Sort Key], 0)), "")</f>
        <v/>
      </c>
    </row>
    <row r="173" spans="5:11" ht="30" customHeight="1" x14ac:dyDescent="0.25">
      <c r="E173" s="9" t="str">
        <f>IFERROR(IF($K173 = "", "", IF(INDEX(tblDocuments[Link Out], $K173) = "", INDEX(tblDocuments[Display Name], $K173), HYPERLINK(INDEX(tblDocuments[Link Out], $K173), INDEX(tblDocuments[Display Name], $K173)))), "")</f>
        <v/>
      </c>
      <c r="F173" s="7" t="str">
        <f>IFERROR(IF($K173 = "", "", IF(TRIM(INDEX(tblDocuments[Document Type], $K173) &amp; "") = "", "—", TRIM(INDEX(tblDocuments[Document Type], $K173) &amp; ""))), "")</f>
        <v/>
      </c>
      <c r="G173" s="7" t="str">
        <f>IFERROR(IF($K173 = "", "", INDEX(tblDocuments[Scope Group], $K173)), "")</f>
        <v/>
      </c>
      <c r="H173" s="10" t="str">
        <f>IFERROR(IF($K173 = "", "", IF(TRIM(INDEX(tblDocuments[Description], $K173) &amp; "") = "", "—", IF(LEN(TRIM(INDEX(tblDocuments[Description], $K173) &amp; "")) &gt; 165, LEFT(TRIM(INDEX(tblDocuments[Description], $K173) &amp; ""), 164) &amp; "…", TRIM(INDEX(tblDocuments[Description], $K173) &amp; "")))), "")</f>
        <v/>
      </c>
      <c r="K173" s="1" t="str">
        <f>IFERROR(IF(162 &gt; ResultCount, "", MATCH(LARGE(tblDocuments[Sort Key], 162), tblDocuments[Sort Key], 0)), "")</f>
        <v/>
      </c>
    </row>
    <row r="174" spans="5:11" ht="30" customHeight="1" x14ac:dyDescent="0.25">
      <c r="E174" s="9" t="str">
        <f>IFERROR(IF($K174 = "", "", IF(INDEX(tblDocuments[Link Out], $K174) = "", INDEX(tblDocuments[Display Name], $K174), HYPERLINK(INDEX(tblDocuments[Link Out], $K174), INDEX(tblDocuments[Display Name], $K174)))), "")</f>
        <v/>
      </c>
      <c r="F174" s="7" t="str">
        <f>IFERROR(IF($K174 = "", "", IF(TRIM(INDEX(tblDocuments[Document Type], $K174) &amp; "") = "", "—", TRIM(INDEX(tblDocuments[Document Type], $K174) &amp; ""))), "")</f>
        <v/>
      </c>
      <c r="G174" s="7" t="str">
        <f>IFERROR(IF($K174 = "", "", INDEX(tblDocuments[Scope Group], $K174)), "")</f>
        <v/>
      </c>
      <c r="H174" s="10" t="str">
        <f>IFERROR(IF($K174 = "", "", IF(TRIM(INDEX(tblDocuments[Description], $K174) &amp; "") = "", "—", IF(LEN(TRIM(INDEX(tblDocuments[Description], $K174) &amp; "")) &gt; 165, LEFT(TRIM(INDEX(tblDocuments[Description], $K174) &amp; ""), 164) &amp; "…", TRIM(INDEX(tblDocuments[Description], $K174) &amp; "")))), "")</f>
        <v/>
      </c>
      <c r="K174" s="1" t="str">
        <f>IFERROR(IF(163 &gt; ResultCount, "", MATCH(LARGE(tblDocuments[Sort Key], 163), tblDocuments[Sort Key], 0)), "")</f>
        <v/>
      </c>
    </row>
    <row r="175" spans="5:11" ht="30" customHeight="1" x14ac:dyDescent="0.25">
      <c r="E175" s="9" t="str">
        <f>IFERROR(IF($K175 = "", "", IF(INDEX(tblDocuments[Link Out], $K175) = "", INDEX(tblDocuments[Display Name], $K175), HYPERLINK(INDEX(tblDocuments[Link Out], $K175), INDEX(tblDocuments[Display Name], $K175)))), "")</f>
        <v/>
      </c>
      <c r="F175" s="7" t="str">
        <f>IFERROR(IF($K175 = "", "", IF(TRIM(INDEX(tblDocuments[Document Type], $K175) &amp; "") = "", "—", TRIM(INDEX(tblDocuments[Document Type], $K175) &amp; ""))), "")</f>
        <v/>
      </c>
      <c r="G175" s="7" t="str">
        <f>IFERROR(IF($K175 = "", "", INDEX(tblDocuments[Scope Group], $K175)), "")</f>
        <v/>
      </c>
      <c r="H175" s="10" t="str">
        <f>IFERROR(IF($K175 = "", "", IF(TRIM(INDEX(tblDocuments[Description], $K175) &amp; "") = "", "—", IF(LEN(TRIM(INDEX(tblDocuments[Description], $K175) &amp; "")) &gt; 165, LEFT(TRIM(INDEX(tblDocuments[Description], $K175) &amp; ""), 164) &amp; "…", TRIM(INDEX(tblDocuments[Description], $K175) &amp; "")))), "")</f>
        <v/>
      </c>
      <c r="K175" s="1" t="str">
        <f>IFERROR(IF(164 &gt; ResultCount, "", MATCH(LARGE(tblDocuments[Sort Key], 164), tblDocuments[Sort Key], 0)), "")</f>
        <v/>
      </c>
    </row>
    <row r="176" spans="5:11" ht="30" customHeight="1" x14ac:dyDescent="0.25">
      <c r="E176" s="9" t="str">
        <f>IFERROR(IF($K176 = "", "", IF(INDEX(tblDocuments[Link Out], $K176) = "", INDEX(tblDocuments[Display Name], $K176), HYPERLINK(INDEX(tblDocuments[Link Out], $K176), INDEX(tblDocuments[Display Name], $K176)))), "")</f>
        <v/>
      </c>
      <c r="F176" s="7" t="str">
        <f>IFERROR(IF($K176 = "", "", IF(TRIM(INDEX(tblDocuments[Document Type], $K176) &amp; "") = "", "—", TRIM(INDEX(tblDocuments[Document Type], $K176) &amp; ""))), "")</f>
        <v/>
      </c>
      <c r="G176" s="7" t="str">
        <f>IFERROR(IF($K176 = "", "", INDEX(tblDocuments[Scope Group], $K176)), "")</f>
        <v/>
      </c>
      <c r="H176" s="10" t="str">
        <f>IFERROR(IF($K176 = "", "", IF(TRIM(INDEX(tblDocuments[Description], $K176) &amp; "") = "", "—", IF(LEN(TRIM(INDEX(tblDocuments[Description], $K176) &amp; "")) &gt; 165, LEFT(TRIM(INDEX(tblDocuments[Description], $K176) &amp; ""), 164) &amp; "…", TRIM(INDEX(tblDocuments[Description], $K176) &amp; "")))), "")</f>
        <v/>
      </c>
      <c r="K176" s="1" t="str">
        <f>IFERROR(IF(165 &gt; ResultCount, "", MATCH(LARGE(tblDocuments[Sort Key], 165), tblDocuments[Sort Key], 0)), "")</f>
        <v/>
      </c>
    </row>
    <row r="177" spans="5:11" ht="30" customHeight="1" x14ac:dyDescent="0.25">
      <c r="E177" s="9" t="str">
        <f>IFERROR(IF($K177 = "", "", IF(INDEX(tblDocuments[Link Out], $K177) = "", INDEX(tblDocuments[Display Name], $K177), HYPERLINK(INDEX(tblDocuments[Link Out], $K177), INDEX(tblDocuments[Display Name], $K177)))), "")</f>
        <v/>
      </c>
      <c r="F177" s="7" t="str">
        <f>IFERROR(IF($K177 = "", "", IF(TRIM(INDEX(tblDocuments[Document Type], $K177) &amp; "") = "", "—", TRIM(INDEX(tblDocuments[Document Type], $K177) &amp; ""))), "")</f>
        <v/>
      </c>
      <c r="G177" s="7" t="str">
        <f>IFERROR(IF($K177 = "", "", INDEX(tblDocuments[Scope Group], $K177)), "")</f>
        <v/>
      </c>
      <c r="H177" s="10" t="str">
        <f>IFERROR(IF($K177 = "", "", IF(TRIM(INDEX(tblDocuments[Description], $K177) &amp; "") = "", "—", IF(LEN(TRIM(INDEX(tblDocuments[Description], $K177) &amp; "")) &gt; 165, LEFT(TRIM(INDEX(tblDocuments[Description], $K177) &amp; ""), 164) &amp; "…", TRIM(INDEX(tblDocuments[Description], $K177) &amp; "")))), "")</f>
        <v/>
      </c>
      <c r="K177" s="1" t="str">
        <f>IFERROR(IF(166 &gt; ResultCount, "", MATCH(LARGE(tblDocuments[Sort Key], 166), tblDocuments[Sort Key], 0)), "")</f>
        <v/>
      </c>
    </row>
    <row r="178" spans="5:11" ht="30" customHeight="1" x14ac:dyDescent="0.25">
      <c r="E178" s="9" t="str">
        <f>IFERROR(IF($K178 = "", "", IF(INDEX(tblDocuments[Link Out], $K178) = "", INDEX(tblDocuments[Display Name], $K178), HYPERLINK(INDEX(tblDocuments[Link Out], $K178), INDEX(tblDocuments[Display Name], $K178)))), "")</f>
        <v/>
      </c>
      <c r="F178" s="7" t="str">
        <f>IFERROR(IF($K178 = "", "", IF(TRIM(INDEX(tblDocuments[Document Type], $K178) &amp; "") = "", "—", TRIM(INDEX(tblDocuments[Document Type], $K178) &amp; ""))), "")</f>
        <v/>
      </c>
      <c r="G178" s="7" t="str">
        <f>IFERROR(IF($K178 = "", "", INDEX(tblDocuments[Scope Group], $K178)), "")</f>
        <v/>
      </c>
      <c r="H178" s="10" t="str">
        <f>IFERROR(IF($K178 = "", "", IF(TRIM(INDEX(tblDocuments[Description], $K178) &amp; "") = "", "—", IF(LEN(TRIM(INDEX(tblDocuments[Description], $K178) &amp; "")) &gt; 165, LEFT(TRIM(INDEX(tblDocuments[Description], $K178) &amp; ""), 164) &amp; "…", TRIM(INDEX(tblDocuments[Description], $K178) &amp; "")))), "")</f>
        <v/>
      </c>
      <c r="K178" s="1" t="str">
        <f>IFERROR(IF(167 &gt; ResultCount, "", MATCH(LARGE(tblDocuments[Sort Key], 167), tblDocuments[Sort Key], 0)), "")</f>
        <v/>
      </c>
    </row>
    <row r="179" spans="5:11" ht="30" customHeight="1" x14ac:dyDescent="0.25">
      <c r="E179" s="9" t="str">
        <f>IFERROR(IF($K179 = "", "", IF(INDEX(tblDocuments[Link Out], $K179) = "", INDEX(tblDocuments[Display Name], $K179), HYPERLINK(INDEX(tblDocuments[Link Out], $K179), INDEX(tblDocuments[Display Name], $K179)))), "")</f>
        <v/>
      </c>
      <c r="F179" s="7" t="str">
        <f>IFERROR(IF($K179 = "", "", IF(TRIM(INDEX(tblDocuments[Document Type], $K179) &amp; "") = "", "—", TRIM(INDEX(tblDocuments[Document Type], $K179) &amp; ""))), "")</f>
        <v/>
      </c>
      <c r="G179" s="7" t="str">
        <f>IFERROR(IF($K179 = "", "", INDEX(tblDocuments[Scope Group], $K179)), "")</f>
        <v/>
      </c>
      <c r="H179" s="10" t="str">
        <f>IFERROR(IF($K179 = "", "", IF(TRIM(INDEX(tblDocuments[Description], $K179) &amp; "") = "", "—", IF(LEN(TRIM(INDEX(tblDocuments[Description], $K179) &amp; "")) &gt; 165, LEFT(TRIM(INDEX(tblDocuments[Description], $K179) &amp; ""), 164) &amp; "…", TRIM(INDEX(tblDocuments[Description], $K179) &amp; "")))), "")</f>
        <v/>
      </c>
      <c r="K179" s="1" t="str">
        <f>IFERROR(IF(168 &gt; ResultCount, "", MATCH(LARGE(tblDocuments[Sort Key], 168), tblDocuments[Sort Key], 0)), "")</f>
        <v/>
      </c>
    </row>
    <row r="180" spans="5:11" ht="30" customHeight="1" x14ac:dyDescent="0.25">
      <c r="E180" s="9" t="str">
        <f>IFERROR(IF($K180 = "", "", IF(INDEX(tblDocuments[Link Out], $K180) = "", INDEX(tblDocuments[Display Name], $K180), HYPERLINK(INDEX(tblDocuments[Link Out], $K180), INDEX(tblDocuments[Display Name], $K180)))), "")</f>
        <v/>
      </c>
      <c r="F180" s="7" t="str">
        <f>IFERROR(IF($K180 = "", "", IF(TRIM(INDEX(tblDocuments[Document Type], $K180) &amp; "") = "", "—", TRIM(INDEX(tblDocuments[Document Type], $K180) &amp; ""))), "")</f>
        <v/>
      </c>
      <c r="G180" s="7" t="str">
        <f>IFERROR(IF($K180 = "", "", INDEX(tblDocuments[Scope Group], $K180)), "")</f>
        <v/>
      </c>
      <c r="H180" s="10" t="str">
        <f>IFERROR(IF($K180 = "", "", IF(TRIM(INDEX(tblDocuments[Description], $K180) &amp; "") = "", "—", IF(LEN(TRIM(INDEX(tblDocuments[Description], $K180) &amp; "")) &gt; 165, LEFT(TRIM(INDEX(tblDocuments[Description], $K180) &amp; ""), 164) &amp; "…", TRIM(INDEX(tblDocuments[Description], $K180) &amp; "")))), "")</f>
        <v/>
      </c>
      <c r="K180" s="1" t="str">
        <f>IFERROR(IF(169 &gt; ResultCount, "", MATCH(LARGE(tblDocuments[Sort Key], 169), tblDocuments[Sort Key], 0)), "")</f>
        <v/>
      </c>
    </row>
    <row r="181" spans="5:11" ht="30" customHeight="1" x14ac:dyDescent="0.25">
      <c r="E181" s="9" t="str">
        <f>IFERROR(IF($K181 = "", "", IF(INDEX(tblDocuments[Link Out], $K181) = "", INDEX(tblDocuments[Display Name], $K181), HYPERLINK(INDEX(tblDocuments[Link Out], $K181), INDEX(tblDocuments[Display Name], $K181)))), "")</f>
        <v/>
      </c>
      <c r="F181" s="7" t="str">
        <f>IFERROR(IF($K181 = "", "", IF(TRIM(INDEX(tblDocuments[Document Type], $K181) &amp; "") = "", "—", TRIM(INDEX(tblDocuments[Document Type], $K181) &amp; ""))), "")</f>
        <v/>
      </c>
      <c r="G181" s="7" t="str">
        <f>IFERROR(IF($K181 = "", "", INDEX(tblDocuments[Scope Group], $K181)), "")</f>
        <v/>
      </c>
      <c r="H181" s="10" t="str">
        <f>IFERROR(IF($K181 = "", "", IF(TRIM(INDEX(tblDocuments[Description], $K181) &amp; "") = "", "—", IF(LEN(TRIM(INDEX(tblDocuments[Description], $K181) &amp; "")) &gt; 165, LEFT(TRIM(INDEX(tblDocuments[Description], $K181) &amp; ""), 164) &amp; "…", TRIM(INDEX(tblDocuments[Description], $K181) &amp; "")))), "")</f>
        <v/>
      </c>
      <c r="K181" s="1" t="str">
        <f>IFERROR(IF(170 &gt; ResultCount, "", MATCH(LARGE(tblDocuments[Sort Key], 170), tblDocuments[Sort Key], 0)), "")</f>
        <v/>
      </c>
    </row>
    <row r="182" spans="5:11" ht="30" customHeight="1" x14ac:dyDescent="0.25">
      <c r="E182" s="9" t="str">
        <f>IFERROR(IF($K182 = "", "", IF(INDEX(tblDocuments[Link Out], $K182) = "", INDEX(tblDocuments[Display Name], $K182), HYPERLINK(INDEX(tblDocuments[Link Out], $K182), INDEX(tblDocuments[Display Name], $K182)))), "")</f>
        <v/>
      </c>
      <c r="F182" s="7" t="str">
        <f>IFERROR(IF($K182 = "", "", IF(TRIM(INDEX(tblDocuments[Document Type], $K182) &amp; "") = "", "—", TRIM(INDEX(tblDocuments[Document Type], $K182) &amp; ""))), "")</f>
        <v/>
      </c>
      <c r="G182" s="7" t="str">
        <f>IFERROR(IF($K182 = "", "", INDEX(tblDocuments[Scope Group], $K182)), "")</f>
        <v/>
      </c>
      <c r="H182" s="10" t="str">
        <f>IFERROR(IF($K182 = "", "", IF(TRIM(INDEX(tblDocuments[Description], $K182) &amp; "") = "", "—", IF(LEN(TRIM(INDEX(tblDocuments[Description], $K182) &amp; "")) &gt; 165, LEFT(TRIM(INDEX(tblDocuments[Description], $K182) &amp; ""), 164) &amp; "…", TRIM(INDEX(tblDocuments[Description], $K182) &amp; "")))), "")</f>
        <v/>
      </c>
      <c r="K182" s="1" t="str">
        <f>IFERROR(IF(171 &gt; ResultCount, "", MATCH(LARGE(tblDocuments[Sort Key], 171), tblDocuments[Sort Key], 0)), "")</f>
        <v/>
      </c>
    </row>
    <row r="183" spans="5:11" ht="30" customHeight="1" x14ac:dyDescent="0.25">
      <c r="E183" s="9" t="str">
        <f>IFERROR(IF($K183 = "", "", IF(INDEX(tblDocuments[Link Out], $K183) = "", INDEX(tblDocuments[Display Name], $K183), HYPERLINK(INDEX(tblDocuments[Link Out], $K183), INDEX(tblDocuments[Display Name], $K183)))), "")</f>
        <v/>
      </c>
      <c r="F183" s="7" t="str">
        <f>IFERROR(IF($K183 = "", "", IF(TRIM(INDEX(tblDocuments[Document Type], $K183) &amp; "") = "", "—", TRIM(INDEX(tblDocuments[Document Type], $K183) &amp; ""))), "")</f>
        <v/>
      </c>
      <c r="G183" s="7" t="str">
        <f>IFERROR(IF($K183 = "", "", INDEX(tblDocuments[Scope Group], $K183)), "")</f>
        <v/>
      </c>
      <c r="H183" s="10" t="str">
        <f>IFERROR(IF($K183 = "", "", IF(TRIM(INDEX(tblDocuments[Description], $K183) &amp; "") = "", "—", IF(LEN(TRIM(INDEX(tblDocuments[Description], $K183) &amp; "")) &gt; 165, LEFT(TRIM(INDEX(tblDocuments[Description], $K183) &amp; ""), 164) &amp; "…", TRIM(INDEX(tblDocuments[Description], $K183) &amp; "")))), "")</f>
        <v/>
      </c>
      <c r="K183" s="1" t="str">
        <f>IFERROR(IF(172 &gt; ResultCount, "", MATCH(LARGE(tblDocuments[Sort Key], 172), tblDocuments[Sort Key], 0)), "")</f>
        <v/>
      </c>
    </row>
    <row r="184" spans="5:11" ht="30" customHeight="1" x14ac:dyDescent="0.25">
      <c r="E184" s="9" t="str">
        <f>IFERROR(IF($K184 = "", "", IF(INDEX(tblDocuments[Link Out], $K184) = "", INDEX(tblDocuments[Display Name], $K184), HYPERLINK(INDEX(tblDocuments[Link Out], $K184), INDEX(tblDocuments[Display Name], $K184)))), "")</f>
        <v/>
      </c>
      <c r="F184" s="7" t="str">
        <f>IFERROR(IF($K184 = "", "", IF(TRIM(INDEX(tblDocuments[Document Type], $K184) &amp; "") = "", "—", TRIM(INDEX(tblDocuments[Document Type], $K184) &amp; ""))), "")</f>
        <v/>
      </c>
      <c r="G184" s="7" t="str">
        <f>IFERROR(IF($K184 = "", "", INDEX(tblDocuments[Scope Group], $K184)), "")</f>
        <v/>
      </c>
      <c r="H184" s="10" t="str">
        <f>IFERROR(IF($K184 = "", "", IF(TRIM(INDEX(tblDocuments[Description], $K184) &amp; "") = "", "—", IF(LEN(TRIM(INDEX(tblDocuments[Description], $K184) &amp; "")) &gt; 165, LEFT(TRIM(INDEX(tblDocuments[Description], $K184) &amp; ""), 164) &amp; "…", TRIM(INDEX(tblDocuments[Description], $K184) &amp; "")))), "")</f>
        <v/>
      </c>
      <c r="K184" s="1" t="str">
        <f>IFERROR(IF(173 &gt; ResultCount, "", MATCH(LARGE(tblDocuments[Sort Key], 173), tblDocuments[Sort Key], 0)), "")</f>
        <v/>
      </c>
    </row>
    <row r="185" spans="5:11" ht="30" customHeight="1" x14ac:dyDescent="0.25">
      <c r="E185" s="9" t="str">
        <f>IFERROR(IF($K185 = "", "", IF(INDEX(tblDocuments[Link Out], $K185) = "", INDEX(tblDocuments[Display Name], $K185), HYPERLINK(INDEX(tblDocuments[Link Out], $K185), INDEX(tblDocuments[Display Name], $K185)))), "")</f>
        <v/>
      </c>
      <c r="F185" s="7" t="str">
        <f>IFERROR(IF($K185 = "", "", IF(TRIM(INDEX(tblDocuments[Document Type], $K185) &amp; "") = "", "—", TRIM(INDEX(tblDocuments[Document Type], $K185) &amp; ""))), "")</f>
        <v/>
      </c>
      <c r="G185" s="7" t="str">
        <f>IFERROR(IF($K185 = "", "", INDEX(tblDocuments[Scope Group], $K185)), "")</f>
        <v/>
      </c>
      <c r="H185" s="10" t="str">
        <f>IFERROR(IF($K185 = "", "", IF(TRIM(INDEX(tblDocuments[Description], $K185) &amp; "") = "", "—", IF(LEN(TRIM(INDEX(tblDocuments[Description], $K185) &amp; "")) &gt; 165, LEFT(TRIM(INDEX(tblDocuments[Description], $K185) &amp; ""), 164) &amp; "…", TRIM(INDEX(tblDocuments[Description], $K185) &amp; "")))), "")</f>
        <v/>
      </c>
      <c r="K185" s="1" t="str">
        <f>IFERROR(IF(174 &gt; ResultCount, "", MATCH(LARGE(tblDocuments[Sort Key], 174), tblDocuments[Sort Key], 0)), "")</f>
        <v/>
      </c>
    </row>
    <row r="186" spans="5:11" ht="30" customHeight="1" x14ac:dyDescent="0.25">
      <c r="E186" s="9" t="str">
        <f>IFERROR(IF($K186 = "", "", IF(INDEX(tblDocuments[Link Out], $K186) = "", INDEX(tblDocuments[Display Name], $K186), HYPERLINK(INDEX(tblDocuments[Link Out], $K186), INDEX(tblDocuments[Display Name], $K186)))), "")</f>
        <v/>
      </c>
      <c r="F186" s="7" t="str">
        <f>IFERROR(IF($K186 = "", "", IF(TRIM(INDEX(tblDocuments[Document Type], $K186) &amp; "") = "", "—", TRIM(INDEX(tblDocuments[Document Type], $K186) &amp; ""))), "")</f>
        <v/>
      </c>
      <c r="G186" s="7" t="str">
        <f>IFERROR(IF($K186 = "", "", INDEX(tblDocuments[Scope Group], $K186)), "")</f>
        <v/>
      </c>
      <c r="H186" s="10" t="str">
        <f>IFERROR(IF($K186 = "", "", IF(TRIM(INDEX(tblDocuments[Description], $K186) &amp; "") = "", "—", IF(LEN(TRIM(INDEX(tblDocuments[Description], $K186) &amp; "")) &gt; 165, LEFT(TRIM(INDEX(tblDocuments[Description], $K186) &amp; ""), 164) &amp; "…", TRIM(INDEX(tblDocuments[Description], $K186) &amp; "")))), "")</f>
        <v/>
      </c>
      <c r="K186" s="1" t="str">
        <f>IFERROR(IF(175 &gt; ResultCount, "", MATCH(LARGE(tblDocuments[Sort Key], 175), tblDocuments[Sort Key], 0)), "")</f>
        <v/>
      </c>
    </row>
    <row r="187" spans="5:11" ht="30" customHeight="1" x14ac:dyDescent="0.25">
      <c r="E187" s="9" t="str">
        <f>IFERROR(IF($K187 = "", "", IF(INDEX(tblDocuments[Link Out], $K187) = "", INDEX(tblDocuments[Display Name], $K187), HYPERLINK(INDEX(tblDocuments[Link Out], $K187), INDEX(tblDocuments[Display Name], $K187)))), "")</f>
        <v/>
      </c>
      <c r="F187" s="7" t="str">
        <f>IFERROR(IF($K187 = "", "", IF(TRIM(INDEX(tblDocuments[Document Type], $K187) &amp; "") = "", "—", TRIM(INDEX(tblDocuments[Document Type], $K187) &amp; ""))), "")</f>
        <v/>
      </c>
      <c r="G187" s="7" t="str">
        <f>IFERROR(IF($K187 = "", "", INDEX(tblDocuments[Scope Group], $K187)), "")</f>
        <v/>
      </c>
      <c r="H187" s="10" t="str">
        <f>IFERROR(IF($K187 = "", "", IF(TRIM(INDEX(tblDocuments[Description], $K187) &amp; "") = "", "—", IF(LEN(TRIM(INDEX(tblDocuments[Description], $K187) &amp; "")) &gt; 165, LEFT(TRIM(INDEX(tblDocuments[Description], $K187) &amp; ""), 164) &amp; "…", TRIM(INDEX(tblDocuments[Description], $K187) &amp; "")))), "")</f>
        <v/>
      </c>
      <c r="K187" s="1" t="str">
        <f>IFERROR(IF(176 &gt; ResultCount, "", MATCH(LARGE(tblDocuments[Sort Key], 176), tblDocuments[Sort Key], 0)), "")</f>
        <v/>
      </c>
    </row>
    <row r="188" spans="5:11" ht="30" customHeight="1" x14ac:dyDescent="0.25">
      <c r="E188" s="9" t="str">
        <f>IFERROR(IF($K188 = "", "", IF(INDEX(tblDocuments[Link Out], $K188) = "", INDEX(tblDocuments[Display Name], $K188), HYPERLINK(INDEX(tblDocuments[Link Out], $K188), INDEX(tblDocuments[Display Name], $K188)))), "")</f>
        <v/>
      </c>
      <c r="F188" s="7" t="str">
        <f>IFERROR(IF($K188 = "", "", IF(TRIM(INDEX(tblDocuments[Document Type], $K188) &amp; "") = "", "—", TRIM(INDEX(tblDocuments[Document Type], $K188) &amp; ""))), "")</f>
        <v/>
      </c>
      <c r="G188" s="7" t="str">
        <f>IFERROR(IF($K188 = "", "", INDEX(tblDocuments[Scope Group], $K188)), "")</f>
        <v/>
      </c>
      <c r="H188" s="10" t="str">
        <f>IFERROR(IF($K188 = "", "", IF(TRIM(INDEX(tblDocuments[Description], $K188) &amp; "") = "", "—", IF(LEN(TRIM(INDEX(tblDocuments[Description], $K188) &amp; "")) &gt; 165, LEFT(TRIM(INDEX(tblDocuments[Description], $K188) &amp; ""), 164) &amp; "…", TRIM(INDEX(tblDocuments[Description], $K188) &amp; "")))), "")</f>
        <v/>
      </c>
      <c r="K188" s="1" t="str">
        <f>IFERROR(IF(177 &gt; ResultCount, "", MATCH(LARGE(tblDocuments[Sort Key], 177), tblDocuments[Sort Key], 0)), "")</f>
        <v/>
      </c>
    </row>
    <row r="189" spans="5:11" ht="30" customHeight="1" x14ac:dyDescent="0.25">
      <c r="E189" s="9" t="str">
        <f>IFERROR(IF($K189 = "", "", IF(INDEX(tblDocuments[Link Out], $K189) = "", INDEX(tblDocuments[Display Name], $K189), HYPERLINK(INDEX(tblDocuments[Link Out], $K189), INDEX(tblDocuments[Display Name], $K189)))), "")</f>
        <v/>
      </c>
      <c r="F189" s="7" t="str">
        <f>IFERROR(IF($K189 = "", "", IF(TRIM(INDEX(tblDocuments[Document Type], $K189) &amp; "") = "", "—", TRIM(INDEX(tblDocuments[Document Type], $K189) &amp; ""))), "")</f>
        <v/>
      </c>
      <c r="G189" s="7" t="str">
        <f>IFERROR(IF($K189 = "", "", INDEX(tblDocuments[Scope Group], $K189)), "")</f>
        <v/>
      </c>
      <c r="H189" s="10" t="str">
        <f>IFERROR(IF($K189 = "", "", IF(TRIM(INDEX(tblDocuments[Description], $K189) &amp; "") = "", "—", IF(LEN(TRIM(INDEX(tblDocuments[Description], $K189) &amp; "")) &gt; 165, LEFT(TRIM(INDEX(tblDocuments[Description], $K189) &amp; ""), 164) &amp; "…", TRIM(INDEX(tblDocuments[Description], $K189) &amp; "")))), "")</f>
        <v/>
      </c>
      <c r="K189" s="1" t="str">
        <f>IFERROR(IF(178 &gt; ResultCount, "", MATCH(LARGE(tblDocuments[Sort Key], 178), tblDocuments[Sort Key], 0)), "")</f>
        <v/>
      </c>
    </row>
    <row r="190" spans="5:11" ht="30" customHeight="1" x14ac:dyDescent="0.25">
      <c r="E190" s="9" t="str">
        <f>IFERROR(IF($K190 = "", "", IF(INDEX(tblDocuments[Link Out], $K190) = "", INDEX(tblDocuments[Display Name], $K190), HYPERLINK(INDEX(tblDocuments[Link Out], $K190), INDEX(tblDocuments[Display Name], $K190)))), "")</f>
        <v/>
      </c>
      <c r="F190" s="7" t="str">
        <f>IFERROR(IF($K190 = "", "", IF(TRIM(INDEX(tblDocuments[Document Type], $K190) &amp; "") = "", "—", TRIM(INDEX(tblDocuments[Document Type], $K190) &amp; ""))), "")</f>
        <v/>
      </c>
      <c r="G190" s="7" t="str">
        <f>IFERROR(IF($K190 = "", "", INDEX(tblDocuments[Scope Group], $K190)), "")</f>
        <v/>
      </c>
      <c r="H190" s="10" t="str">
        <f>IFERROR(IF($K190 = "", "", IF(TRIM(INDEX(tblDocuments[Description], $K190) &amp; "") = "", "—", IF(LEN(TRIM(INDEX(tblDocuments[Description], $K190) &amp; "")) &gt; 165, LEFT(TRIM(INDEX(tblDocuments[Description], $K190) &amp; ""), 164) &amp; "…", TRIM(INDEX(tblDocuments[Description], $K190) &amp; "")))), "")</f>
        <v/>
      </c>
      <c r="K190" s="1" t="str">
        <f>IFERROR(IF(179 &gt; ResultCount, "", MATCH(LARGE(tblDocuments[Sort Key], 179), tblDocuments[Sort Key], 0)), "")</f>
        <v/>
      </c>
    </row>
    <row r="191" spans="5:11" ht="30" customHeight="1" x14ac:dyDescent="0.25">
      <c r="E191" s="9" t="str">
        <f>IFERROR(IF($K191 = "", "", IF(INDEX(tblDocuments[Link Out], $K191) = "", INDEX(tblDocuments[Display Name], $K191), HYPERLINK(INDEX(tblDocuments[Link Out], $K191), INDEX(tblDocuments[Display Name], $K191)))), "")</f>
        <v/>
      </c>
      <c r="F191" s="7" t="str">
        <f>IFERROR(IF($K191 = "", "", IF(TRIM(INDEX(tblDocuments[Document Type], $K191) &amp; "") = "", "—", TRIM(INDEX(tblDocuments[Document Type], $K191) &amp; ""))), "")</f>
        <v/>
      </c>
      <c r="G191" s="7" t="str">
        <f>IFERROR(IF($K191 = "", "", INDEX(tblDocuments[Scope Group], $K191)), "")</f>
        <v/>
      </c>
      <c r="H191" s="10" t="str">
        <f>IFERROR(IF($K191 = "", "", IF(TRIM(INDEX(tblDocuments[Description], $K191) &amp; "") = "", "—", IF(LEN(TRIM(INDEX(tblDocuments[Description], $K191) &amp; "")) &gt; 165, LEFT(TRIM(INDEX(tblDocuments[Description], $K191) &amp; ""), 164) &amp; "…", TRIM(INDEX(tblDocuments[Description], $K191) &amp; "")))), "")</f>
        <v/>
      </c>
      <c r="K191" s="1" t="str">
        <f>IFERROR(IF(180 &gt; ResultCount, "", MATCH(LARGE(tblDocuments[Sort Key], 180), tblDocuments[Sort Key], 0)), "")</f>
        <v/>
      </c>
    </row>
    <row r="192" spans="5:11" ht="30" customHeight="1" x14ac:dyDescent="0.25">
      <c r="E192" s="9" t="str">
        <f>IFERROR(IF($K192 = "", "", IF(INDEX(tblDocuments[Link Out], $K192) = "", INDEX(tblDocuments[Display Name], $K192), HYPERLINK(INDEX(tblDocuments[Link Out], $K192), INDEX(tblDocuments[Display Name], $K192)))), "")</f>
        <v/>
      </c>
      <c r="F192" s="7" t="str">
        <f>IFERROR(IF($K192 = "", "", IF(TRIM(INDEX(tblDocuments[Document Type], $K192) &amp; "") = "", "—", TRIM(INDEX(tblDocuments[Document Type], $K192) &amp; ""))), "")</f>
        <v/>
      </c>
      <c r="G192" s="7" t="str">
        <f>IFERROR(IF($K192 = "", "", INDEX(tblDocuments[Scope Group], $K192)), "")</f>
        <v/>
      </c>
      <c r="H192" s="10" t="str">
        <f>IFERROR(IF($K192 = "", "", IF(TRIM(INDEX(tblDocuments[Description], $K192) &amp; "") = "", "—", IF(LEN(TRIM(INDEX(tblDocuments[Description], $K192) &amp; "")) &gt; 165, LEFT(TRIM(INDEX(tblDocuments[Description], $K192) &amp; ""), 164) &amp; "…", TRIM(INDEX(tblDocuments[Description], $K192) &amp; "")))), "")</f>
        <v/>
      </c>
      <c r="K192" s="1" t="str">
        <f>IFERROR(IF(181 &gt; ResultCount, "", MATCH(LARGE(tblDocuments[Sort Key], 181), tblDocuments[Sort Key], 0)), "")</f>
        <v/>
      </c>
    </row>
    <row r="193" spans="5:11" ht="30" customHeight="1" x14ac:dyDescent="0.25">
      <c r="E193" s="9" t="str">
        <f>IFERROR(IF($K193 = "", "", IF(INDEX(tblDocuments[Link Out], $K193) = "", INDEX(tblDocuments[Display Name], $K193), HYPERLINK(INDEX(tblDocuments[Link Out], $K193), INDEX(tblDocuments[Display Name], $K193)))), "")</f>
        <v/>
      </c>
      <c r="F193" s="7" t="str">
        <f>IFERROR(IF($K193 = "", "", IF(TRIM(INDEX(tblDocuments[Document Type], $K193) &amp; "") = "", "—", TRIM(INDEX(tblDocuments[Document Type], $K193) &amp; ""))), "")</f>
        <v/>
      </c>
      <c r="G193" s="7" t="str">
        <f>IFERROR(IF($K193 = "", "", INDEX(tblDocuments[Scope Group], $K193)), "")</f>
        <v/>
      </c>
      <c r="H193" s="10" t="str">
        <f>IFERROR(IF($K193 = "", "", IF(TRIM(INDEX(tblDocuments[Description], $K193) &amp; "") = "", "—", IF(LEN(TRIM(INDEX(tblDocuments[Description], $K193) &amp; "")) &gt; 165, LEFT(TRIM(INDEX(tblDocuments[Description], $K193) &amp; ""), 164) &amp; "…", TRIM(INDEX(tblDocuments[Description], $K193) &amp; "")))), "")</f>
        <v/>
      </c>
      <c r="K193" s="1" t="str">
        <f>IFERROR(IF(182 &gt; ResultCount, "", MATCH(LARGE(tblDocuments[Sort Key], 182), tblDocuments[Sort Key], 0)), "")</f>
        <v/>
      </c>
    </row>
    <row r="194" spans="5:11" ht="30" customHeight="1" x14ac:dyDescent="0.25">
      <c r="E194" s="9" t="str">
        <f>IFERROR(IF($K194 = "", "", IF(INDEX(tblDocuments[Link Out], $K194) = "", INDEX(tblDocuments[Display Name], $K194), HYPERLINK(INDEX(tblDocuments[Link Out], $K194), INDEX(tblDocuments[Display Name], $K194)))), "")</f>
        <v/>
      </c>
      <c r="F194" s="7" t="str">
        <f>IFERROR(IF($K194 = "", "", IF(TRIM(INDEX(tblDocuments[Document Type], $K194) &amp; "") = "", "—", TRIM(INDEX(tblDocuments[Document Type], $K194) &amp; ""))), "")</f>
        <v/>
      </c>
      <c r="G194" s="7" t="str">
        <f>IFERROR(IF($K194 = "", "", INDEX(tblDocuments[Scope Group], $K194)), "")</f>
        <v/>
      </c>
      <c r="H194" s="10" t="str">
        <f>IFERROR(IF($K194 = "", "", IF(TRIM(INDEX(tblDocuments[Description], $K194) &amp; "") = "", "—", IF(LEN(TRIM(INDEX(tblDocuments[Description], $K194) &amp; "")) &gt; 165, LEFT(TRIM(INDEX(tblDocuments[Description], $K194) &amp; ""), 164) &amp; "…", TRIM(INDEX(tblDocuments[Description], $K194) &amp; "")))), "")</f>
        <v/>
      </c>
      <c r="K194" s="1" t="str">
        <f>IFERROR(IF(183 &gt; ResultCount, "", MATCH(LARGE(tblDocuments[Sort Key], 183), tblDocuments[Sort Key], 0)), "")</f>
        <v/>
      </c>
    </row>
    <row r="195" spans="5:11" ht="30" customHeight="1" x14ac:dyDescent="0.25">
      <c r="E195" s="9" t="str">
        <f>IFERROR(IF($K195 = "", "", IF(INDEX(tblDocuments[Link Out], $K195) = "", INDEX(tblDocuments[Display Name], $K195), HYPERLINK(INDEX(tblDocuments[Link Out], $K195), INDEX(tblDocuments[Display Name], $K195)))), "")</f>
        <v/>
      </c>
      <c r="F195" s="7" t="str">
        <f>IFERROR(IF($K195 = "", "", IF(TRIM(INDEX(tblDocuments[Document Type], $K195) &amp; "") = "", "—", TRIM(INDEX(tblDocuments[Document Type], $K195) &amp; ""))), "")</f>
        <v/>
      </c>
      <c r="G195" s="7" t="str">
        <f>IFERROR(IF($K195 = "", "", INDEX(tblDocuments[Scope Group], $K195)), "")</f>
        <v/>
      </c>
      <c r="H195" s="10" t="str">
        <f>IFERROR(IF($K195 = "", "", IF(TRIM(INDEX(tblDocuments[Description], $K195) &amp; "") = "", "—", IF(LEN(TRIM(INDEX(tblDocuments[Description], $K195) &amp; "")) &gt; 165, LEFT(TRIM(INDEX(tblDocuments[Description], $K195) &amp; ""), 164) &amp; "…", TRIM(INDEX(tblDocuments[Description], $K195) &amp; "")))), "")</f>
        <v/>
      </c>
      <c r="K195" s="1" t="str">
        <f>IFERROR(IF(184 &gt; ResultCount, "", MATCH(LARGE(tblDocuments[Sort Key], 184), tblDocuments[Sort Key], 0)), "")</f>
        <v/>
      </c>
    </row>
    <row r="196" spans="5:11" ht="30" customHeight="1" x14ac:dyDescent="0.25">
      <c r="E196" s="9" t="str">
        <f>IFERROR(IF($K196 = "", "", IF(INDEX(tblDocuments[Link Out], $K196) = "", INDEX(tblDocuments[Display Name], $K196), HYPERLINK(INDEX(tblDocuments[Link Out], $K196), INDEX(tblDocuments[Display Name], $K196)))), "")</f>
        <v/>
      </c>
      <c r="F196" s="7" t="str">
        <f>IFERROR(IF($K196 = "", "", IF(TRIM(INDEX(tblDocuments[Document Type], $K196) &amp; "") = "", "—", TRIM(INDEX(tblDocuments[Document Type], $K196) &amp; ""))), "")</f>
        <v/>
      </c>
      <c r="G196" s="7" t="str">
        <f>IFERROR(IF($K196 = "", "", INDEX(tblDocuments[Scope Group], $K196)), "")</f>
        <v/>
      </c>
      <c r="H196" s="10" t="str">
        <f>IFERROR(IF($K196 = "", "", IF(TRIM(INDEX(tblDocuments[Description], $K196) &amp; "") = "", "—", IF(LEN(TRIM(INDEX(tblDocuments[Description], $K196) &amp; "")) &gt; 165, LEFT(TRIM(INDEX(tblDocuments[Description], $K196) &amp; ""), 164) &amp; "…", TRIM(INDEX(tblDocuments[Description], $K196) &amp; "")))), "")</f>
        <v/>
      </c>
      <c r="K196" s="1" t="str">
        <f>IFERROR(IF(185 &gt; ResultCount, "", MATCH(LARGE(tblDocuments[Sort Key], 185), tblDocuments[Sort Key], 0)), "")</f>
        <v/>
      </c>
    </row>
    <row r="197" spans="5:11" ht="30" customHeight="1" x14ac:dyDescent="0.25">
      <c r="E197" s="9" t="str">
        <f>IFERROR(IF($K197 = "", "", IF(INDEX(tblDocuments[Link Out], $K197) = "", INDEX(tblDocuments[Display Name], $K197), HYPERLINK(INDEX(tblDocuments[Link Out], $K197), INDEX(tblDocuments[Display Name], $K197)))), "")</f>
        <v/>
      </c>
      <c r="F197" s="7" t="str">
        <f>IFERROR(IF($K197 = "", "", IF(TRIM(INDEX(tblDocuments[Document Type], $K197) &amp; "") = "", "—", TRIM(INDEX(tblDocuments[Document Type], $K197) &amp; ""))), "")</f>
        <v/>
      </c>
      <c r="G197" s="7" t="str">
        <f>IFERROR(IF($K197 = "", "", INDEX(tblDocuments[Scope Group], $K197)), "")</f>
        <v/>
      </c>
      <c r="H197" s="10" t="str">
        <f>IFERROR(IF($K197 = "", "", IF(TRIM(INDEX(tblDocuments[Description], $K197) &amp; "") = "", "—", IF(LEN(TRIM(INDEX(tblDocuments[Description], $K197) &amp; "")) &gt; 165, LEFT(TRIM(INDEX(tblDocuments[Description], $K197) &amp; ""), 164) &amp; "…", TRIM(INDEX(tblDocuments[Description], $K197) &amp; "")))), "")</f>
        <v/>
      </c>
      <c r="K197" s="1" t="str">
        <f>IFERROR(IF(186 &gt; ResultCount, "", MATCH(LARGE(tblDocuments[Sort Key], 186), tblDocuments[Sort Key], 0)), "")</f>
        <v/>
      </c>
    </row>
    <row r="198" spans="5:11" ht="30" customHeight="1" x14ac:dyDescent="0.25">
      <c r="E198" s="9" t="str">
        <f>IFERROR(IF($K198 = "", "", IF(INDEX(tblDocuments[Link Out], $K198) = "", INDEX(tblDocuments[Display Name], $K198), HYPERLINK(INDEX(tblDocuments[Link Out], $K198), INDEX(tblDocuments[Display Name], $K198)))), "")</f>
        <v/>
      </c>
      <c r="F198" s="7" t="str">
        <f>IFERROR(IF($K198 = "", "", IF(TRIM(INDEX(tblDocuments[Document Type], $K198) &amp; "") = "", "—", TRIM(INDEX(tblDocuments[Document Type], $K198) &amp; ""))), "")</f>
        <v/>
      </c>
      <c r="G198" s="7" t="str">
        <f>IFERROR(IF($K198 = "", "", INDEX(tblDocuments[Scope Group], $K198)), "")</f>
        <v/>
      </c>
      <c r="H198" s="10" t="str">
        <f>IFERROR(IF($K198 = "", "", IF(TRIM(INDEX(tblDocuments[Description], $K198) &amp; "") = "", "—", IF(LEN(TRIM(INDEX(tblDocuments[Description], $K198) &amp; "")) &gt; 165, LEFT(TRIM(INDEX(tblDocuments[Description], $K198) &amp; ""), 164) &amp; "…", TRIM(INDEX(tblDocuments[Description], $K198) &amp; "")))), "")</f>
        <v/>
      </c>
      <c r="K198" s="1" t="str">
        <f>IFERROR(IF(187 &gt; ResultCount, "", MATCH(LARGE(tblDocuments[Sort Key], 187), tblDocuments[Sort Key], 0)), "")</f>
        <v/>
      </c>
    </row>
    <row r="199" spans="5:11" ht="30" customHeight="1" x14ac:dyDescent="0.25">
      <c r="E199" s="9" t="str">
        <f>IFERROR(IF($K199 = "", "", IF(INDEX(tblDocuments[Link Out], $K199) = "", INDEX(tblDocuments[Display Name], $K199), HYPERLINK(INDEX(tblDocuments[Link Out], $K199), INDEX(tblDocuments[Display Name], $K199)))), "")</f>
        <v/>
      </c>
      <c r="F199" s="7" t="str">
        <f>IFERROR(IF($K199 = "", "", IF(TRIM(INDEX(tblDocuments[Document Type], $K199) &amp; "") = "", "—", TRIM(INDEX(tblDocuments[Document Type], $K199) &amp; ""))), "")</f>
        <v/>
      </c>
      <c r="G199" s="7" t="str">
        <f>IFERROR(IF($K199 = "", "", INDEX(tblDocuments[Scope Group], $K199)), "")</f>
        <v/>
      </c>
      <c r="H199" s="10" t="str">
        <f>IFERROR(IF($K199 = "", "", IF(TRIM(INDEX(tblDocuments[Description], $K199) &amp; "") = "", "—", IF(LEN(TRIM(INDEX(tblDocuments[Description], $K199) &amp; "")) &gt; 165, LEFT(TRIM(INDEX(tblDocuments[Description], $K199) &amp; ""), 164) &amp; "…", TRIM(INDEX(tblDocuments[Description], $K199) &amp; "")))), "")</f>
        <v/>
      </c>
      <c r="K199" s="1" t="str">
        <f>IFERROR(IF(188 &gt; ResultCount, "", MATCH(LARGE(tblDocuments[Sort Key], 188), tblDocuments[Sort Key], 0)), "")</f>
        <v/>
      </c>
    </row>
    <row r="200" spans="5:11" ht="30" customHeight="1" x14ac:dyDescent="0.25">
      <c r="E200" s="9" t="str">
        <f>IFERROR(IF($K200 = "", "", IF(INDEX(tblDocuments[Link Out], $K200) = "", INDEX(tblDocuments[Display Name], $K200), HYPERLINK(INDEX(tblDocuments[Link Out], $K200), INDEX(tblDocuments[Display Name], $K200)))), "")</f>
        <v/>
      </c>
      <c r="F200" s="7" t="str">
        <f>IFERROR(IF($K200 = "", "", IF(TRIM(INDEX(tblDocuments[Document Type], $K200) &amp; "") = "", "—", TRIM(INDEX(tblDocuments[Document Type], $K200) &amp; ""))), "")</f>
        <v/>
      </c>
      <c r="G200" s="7" t="str">
        <f>IFERROR(IF($K200 = "", "", INDEX(tblDocuments[Scope Group], $K200)), "")</f>
        <v/>
      </c>
      <c r="H200" s="10" t="str">
        <f>IFERROR(IF($K200 = "", "", IF(TRIM(INDEX(tblDocuments[Description], $K200) &amp; "") = "", "—", IF(LEN(TRIM(INDEX(tblDocuments[Description], $K200) &amp; "")) &gt; 165, LEFT(TRIM(INDEX(tblDocuments[Description], $K200) &amp; ""), 164) &amp; "…", TRIM(INDEX(tblDocuments[Description], $K200) &amp; "")))), "")</f>
        <v/>
      </c>
      <c r="K200" s="1" t="str">
        <f>IFERROR(IF(189 &gt; ResultCount, "", MATCH(LARGE(tblDocuments[Sort Key], 189), tblDocuments[Sort Key], 0)), "")</f>
        <v/>
      </c>
    </row>
    <row r="201" spans="5:11" ht="30" customHeight="1" x14ac:dyDescent="0.25">
      <c r="E201" s="9" t="str">
        <f>IFERROR(IF($K201 = "", "", IF(INDEX(tblDocuments[Link Out], $K201) = "", INDEX(tblDocuments[Display Name], $K201), HYPERLINK(INDEX(tblDocuments[Link Out], $K201), INDEX(tblDocuments[Display Name], $K201)))), "")</f>
        <v/>
      </c>
      <c r="F201" s="7" t="str">
        <f>IFERROR(IF($K201 = "", "", IF(TRIM(INDEX(tblDocuments[Document Type], $K201) &amp; "") = "", "—", TRIM(INDEX(tblDocuments[Document Type], $K201) &amp; ""))), "")</f>
        <v/>
      </c>
      <c r="G201" s="7" t="str">
        <f>IFERROR(IF($K201 = "", "", INDEX(tblDocuments[Scope Group], $K201)), "")</f>
        <v/>
      </c>
      <c r="H201" s="10" t="str">
        <f>IFERROR(IF($K201 = "", "", IF(TRIM(INDEX(tblDocuments[Description], $K201) &amp; "") = "", "—", IF(LEN(TRIM(INDEX(tblDocuments[Description], $K201) &amp; "")) &gt; 165, LEFT(TRIM(INDEX(tblDocuments[Description], $K201) &amp; ""), 164) &amp; "…", TRIM(INDEX(tblDocuments[Description], $K201) &amp; "")))), "")</f>
        <v/>
      </c>
      <c r="K201" s="1" t="str">
        <f>IFERROR(IF(190 &gt; ResultCount, "", MATCH(LARGE(tblDocuments[Sort Key], 190), tblDocuments[Sort Key], 0)), "")</f>
        <v/>
      </c>
    </row>
    <row r="202" spans="5:11" ht="30" customHeight="1" x14ac:dyDescent="0.25">
      <c r="E202" s="9" t="str">
        <f>IFERROR(IF($K202 = "", "", IF(INDEX(tblDocuments[Link Out], $K202) = "", INDEX(tblDocuments[Display Name], $K202), HYPERLINK(INDEX(tblDocuments[Link Out], $K202), INDEX(tblDocuments[Display Name], $K202)))), "")</f>
        <v/>
      </c>
      <c r="F202" s="7" t="str">
        <f>IFERROR(IF($K202 = "", "", IF(TRIM(INDEX(tblDocuments[Document Type], $K202) &amp; "") = "", "—", TRIM(INDEX(tblDocuments[Document Type], $K202) &amp; ""))), "")</f>
        <v/>
      </c>
      <c r="G202" s="7" t="str">
        <f>IFERROR(IF($K202 = "", "", INDEX(tblDocuments[Scope Group], $K202)), "")</f>
        <v/>
      </c>
      <c r="H202" s="10" t="str">
        <f>IFERROR(IF($K202 = "", "", IF(TRIM(INDEX(tblDocuments[Description], $K202) &amp; "") = "", "—", IF(LEN(TRIM(INDEX(tblDocuments[Description], $K202) &amp; "")) &gt; 165, LEFT(TRIM(INDEX(tblDocuments[Description], $K202) &amp; ""), 164) &amp; "…", TRIM(INDEX(tblDocuments[Description], $K202) &amp; "")))), "")</f>
        <v/>
      </c>
      <c r="K202" s="1" t="str">
        <f>IFERROR(IF(191 &gt; ResultCount, "", MATCH(LARGE(tblDocuments[Sort Key], 191), tblDocuments[Sort Key], 0)), "")</f>
        <v/>
      </c>
    </row>
    <row r="203" spans="5:11" ht="30" customHeight="1" x14ac:dyDescent="0.25">
      <c r="E203" s="9" t="str">
        <f>IFERROR(IF($K203 = "", "", IF(INDEX(tblDocuments[Link Out], $K203) = "", INDEX(tblDocuments[Display Name], $K203), HYPERLINK(INDEX(tblDocuments[Link Out], $K203), INDEX(tblDocuments[Display Name], $K203)))), "")</f>
        <v/>
      </c>
      <c r="F203" s="7" t="str">
        <f>IFERROR(IF($K203 = "", "", IF(TRIM(INDEX(tblDocuments[Document Type], $K203) &amp; "") = "", "—", TRIM(INDEX(tblDocuments[Document Type], $K203) &amp; ""))), "")</f>
        <v/>
      </c>
      <c r="G203" s="7" t="str">
        <f>IFERROR(IF($K203 = "", "", INDEX(tblDocuments[Scope Group], $K203)), "")</f>
        <v/>
      </c>
      <c r="H203" s="10" t="str">
        <f>IFERROR(IF($K203 = "", "", IF(TRIM(INDEX(tblDocuments[Description], $K203) &amp; "") = "", "—", IF(LEN(TRIM(INDEX(tblDocuments[Description], $K203) &amp; "")) &gt; 165, LEFT(TRIM(INDEX(tblDocuments[Description], $K203) &amp; ""), 164) &amp; "…", TRIM(INDEX(tblDocuments[Description], $K203) &amp; "")))), "")</f>
        <v/>
      </c>
      <c r="K203" s="1" t="str">
        <f>IFERROR(IF(192 &gt; ResultCount, "", MATCH(LARGE(tblDocuments[Sort Key], 192), tblDocuments[Sort Key], 0)), "")</f>
        <v/>
      </c>
    </row>
    <row r="204" spans="5:11" ht="30" customHeight="1" x14ac:dyDescent="0.25">
      <c r="E204" s="9" t="str">
        <f>IFERROR(IF($K204 = "", "", IF(INDEX(tblDocuments[Link Out], $K204) = "", INDEX(tblDocuments[Display Name], $K204), HYPERLINK(INDEX(tblDocuments[Link Out], $K204), INDEX(tblDocuments[Display Name], $K204)))), "")</f>
        <v/>
      </c>
      <c r="F204" s="7" t="str">
        <f>IFERROR(IF($K204 = "", "", IF(TRIM(INDEX(tblDocuments[Document Type], $K204) &amp; "") = "", "—", TRIM(INDEX(tblDocuments[Document Type], $K204) &amp; ""))), "")</f>
        <v/>
      </c>
      <c r="G204" s="7" t="str">
        <f>IFERROR(IF($K204 = "", "", INDEX(tblDocuments[Scope Group], $K204)), "")</f>
        <v/>
      </c>
      <c r="H204" s="10" t="str">
        <f>IFERROR(IF($K204 = "", "", IF(TRIM(INDEX(tblDocuments[Description], $K204) &amp; "") = "", "—", IF(LEN(TRIM(INDEX(tblDocuments[Description], $K204) &amp; "")) &gt; 165, LEFT(TRIM(INDEX(tblDocuments[Description], $K204) &amp; ""), 164) &amp; "…", TRIM(INDEX(tblDocuments[Description], $K204) &amp; "")))), "")</f>
        <v/>
      </c>
      <c r="K204" s="1" t="str">
        <f>IFERROR(IF(193 &gt; ResultCount, "", MATCH(LARGE(tblDocuments[Sort Key], 193), tblDocuments[Sort Key], 0)), "")</f>
        <v/>
      </c>
    </row>
    <row r="205" spans="5:11" ht="30" customHeight="1" x14ac:dyDescent="0.25">
      <c r="E205" s="9" t="str">
        <f>IFERROR(IF($K205 = "", "", IF(INDEX(tblDocuments[Link Out], $K205) = "", INDEX(tblDocuments[Display Name], $K205), HYPERLINK(INDEX(tblDocuments[Link Out], $K205), INDEX(tblDocuments[Display Name], $K205)))), "")</f>
        <v/>
      </c>
      <c r="F205" s="7" t="str">
        <f>IFERROR(IF($K205 = "", "", IF(TRIM(INDEX(tblDocuments[Document Type], $K205) &amp; "") = "", "—", TRIM(INDEX(tblDocuments[Document Type], $K205) &amp; ""))), "")</f>
        <v/>
      </c>
      <c r="G205" s="7" t="str">
        <f>IFERROR(IF($K205 = "", "", INDEX(tblDocuments[Scope Group], $K205)), "")</f>
        <v/>
      </c>
      <c r="H205" s="10" t="str">
        <f>IFERROR(IF($K205 = "", "", IF(TRIM(INDEX(tblDocuments[Description], $K205) &amp; "") = "", "—", IF(LEN(TRIM(INDEX(tblDocuments[Description], $K205) &amp; "")) &gt; 165, LEFT(TRIM(INDEX(tblDocuments[Description], $K205) &amp; ""), 164) &amp; "…", TRIM(INDEX(tblDocuments[Description], $K205) &amp; "")))), "")</f>
        <v/>
      </c>
      <c r="K205" s="1" t="str">
        <f>IFERROR(IF(194 &gt; ResultCount, "", MATCH(LARGE(tblDocuments[Sort Key], 194), tblDocuments[Sort Key], 0)), "")</f>
        <v/>
      </c>
    </row>
    <row r="206" spans="5:11" ht="30" customHeight="1" x14ac:dyDescent="0.25">
      <c r="E206" s="9" t="str">
        <f>IFERROR(IF($K206 = "", "", IF(INDEX(tblDocuments[Link Out], $K206) = "", INDEX(tblDocuments[Display Name], $K206), HYPERLINK(INDEX(tblDocuments[Link Out], $K206), INDEX(tblDocuments[Display Name], $K206)))), "")</f>
        <v/>
      </c>
      <c r="F206" s="7" t="str">
        <f>IFERROR(IF($K206 = "", "", IF(TRIM(INDEX(tblDocuments[Document Type], $K206) &amp; "") = "", "—", TRIM(INDEX(tblDocuments[Document Type], $K206) &amp; ""))), "")</f>
        <v/>
      </c>
      <c r="G206" s="7" t="str">
        <f>IFERROR(IF($K206 = "", "", INDEX(tblDocuments[Scope Group], $K206)), "")</f>
        <v/>
      </c>
      <c r="H206" s="10" t="str">
        <f>IFERROR(IF($K206 = "", "", IF(TRIM(INDEX(tblDocuments[Description], $K206) &amp; "") = "", "—", IF(LEN(TRIM(INDEX(tblDocuments[Description], $K206) &amp; "")) &gt; 165, LEFT(TRIM(INDEX(tblDocuments[Description], $K206) &amp; ""), 164) &amp; "…", TRIM(INDEX(tblDocuments[Description], $K206) &amp; "")))), "")</f>
        <v/>
      </c>
      <c r="K206" s="1" t="str">
        <f>IFERROR(IF(195 &gt; ResultCount, "", MATCH(LARGE(tblDocuments[Sort Key], 195), tblDocuments[Sort Key], 0)), "")</f>
        <v/>
      </c>
    </row>
    <row r="207" spans="5:11" ht="30" customHeight="1" x14ac:dyDescent="0.25">
      <c r="E207" s="9" t="str">
        <f>IFERROR(IF($K207 = "", "", IF(INDEX(tblDocuments[Link Out], $K207) = "", INDEX(tblDocuments[Display Name], $K207), HYPERLINK(INDEX(tblDocuments[Link Out], $K207), INDEX(tblDocuments[Display Name], $K207)))), "")</f>
        <v/>
      </c>
      <c r="F207" s="7" t="str">
        <f>IFERROR(IF($K207 = "", "", IF(TRIM(INDEX(tblDocuments[Document Type], $K207) &amp; "") = "", "—", TRIM(INDEX(tblDocuments[Document Type], $K207) &amp; ""))), "")</f>
        <v/>
      </c>
      <c r="G207" s="7" t="str">
        <f>IFERROR(IF($K207 = "", "", INDEX(tblDocuments[Scope Group], $K207)), "")</f>
        <v/>
      </c>
      <c r="H207" s="10" t="str">
        <f>IFERROR(IF($K207 = "", "", IF(TRIM(INDEX(tblDocuments[Description], $K207) &amp; "") = "", "—", IF(LEN(TRIM(INDEX(tblDocuments[Description], $K207) &amp; "")) &gt; 165, LEFT(TRIM(INDEX(tblDocuments[Description], $K207) &amp; ""), 164) &amp; "…", TRIM(INDEX(tblDocuments[Description], $K207) &amp; "")))), "")</f>
        <v/>
      </c>
      <c r="K207" s="1" t="str">
        <f>IFERROR(IF(196 &gt; ResultCount, "", MATCH(LARGE(tblDocuments[Sort Key], 196), tblDocuments[Sort Key], 0)), "")</f>
        <v/>
      </c>
    </row>
    <row r="208" spans="5:11" ht="30" customHeight="1" x14ac:dyDescent="0.25">
      <c r="E208" s="9" t="str">
        <f>IFERROR(IF($K208 = "", "", IF(INDEX(tblDocuments[Link Out], $K208) = "", INDEX(tblDocuments[Display Name], $K208), HYPERLINK(INDEX(tblDocuments[Link Out], $K208), INDEX(tblDocuments[Display Name], $K208)))), "")</f>
        <v/>
      </c>
      <c r="F208" s="7" t="str">
        <f>IFERROR(IF($K208 = "", "", IF(TRIM(INDEX(tblDocuments[Document Type], $K208) &amp; "") = "", "—", TRIM(INDEX(tblDocuments[Document Type], $K208) &amp; ""))), "")</f>
        <v/>
      </c>
      <c r="G208" s="7" t="str">
        <f>IFERROR(IF($K208 = "", "", INDEX(tblDocuments[Scope Group], $K208)), "")</f>
        <v/>
      </c>
      <c r="H208" s="10" t="str">
        <f>IFERROR(IF($K208 = "", "", IF(TRIM(INDEX(tblDocuments[Description], $K208) &amp; "") = "", "—", IF(LEN(TRIM(INDEX(tblDocuments[Description], $K208) &amp; "")) &gt; 165, LEFT(TRIM(INDEX(tblDocuments[Description], $K208) &amp; ""), 164) &amp; "…", TRIM(INDEX(tblDocuments[Description], $K208) &amp; "")))), "")</f>
        <v/>
      </c>
      <c r="K208" s="1" t="str">
        <f>IFERROR(IF(197 &gt; ResultCount, "", MATCH(LARGE(tblDocuments[Sort Key], 197), tblDocuments[Sort Key], 0)), "")</f>
        <v/>
      </c>
    </row>
    <row r="209" spans="5:11" ht="30" customHeight="1" x14ac:dyDescent="0.25">
      <c r="E209" s="9" t="str">
        <f>IFERROR(IF($K209 = "", "", IF(INDEX(tblDocuments[Link Out], $K209) = "", INDEX(tblDocuments[Display Name], $K209), HYPERLINK(INDEX(tblDocuments[Link Out], $K209), INDEX(tblDocuments[Display Name], $K209)))), "")</f>
        <v/>
      </c>
      <c r="F209" s="7" t="str">
        <f>IFERROR(IF($K209 = "", "", IF(TRIM(INDEX(tblDocuments[Document Type], $K209) &amp; "") = "", "—", TRIM(INDEX(tblDocuments[Document Type], $K209) &amp; ""))), "")</f>
        <v/>
      </c>
      <c r="G209" s="7" t="str">
        <f>IFERROR(IF($K209 = "", "", INDEX(tblDocuments[Scope Group], $K209)), "")</f>
        <v/>
      </c>
      <c r="H209" s="10" t="str">
        <f>IFERROR(IF($K209 = "", "", IF(TRIM(INDEX(tblDocuments[Description], $K209) &amp; "") = "", "—", IF(LEN(TRIM(INDEX(tblDocuments[Description], $K209) &amp; "")) &gt; 165, LEFT(TRIM(INDEX(tblDocuments[Description], $K209) &amp; ""), 164) &amp; "…", TRIM(INDEX(tblDocuments[Description], $K209) &amp; "")))), "")</f>
        <v/>
      </c>
      <c r="K209" s="1" t="str">
        <f>IFERROR(IF(198 &gt; ResultCount, "", MATCH(LARGE(tblDocuments[Sort Key], 198), tblDocuments[Sort Key], 0)), "")</f>
        <v/>
      </c>
    </row>
    <row r="210" spans="5:11" ht="30" customHeight="1" x14ac:dyDescent="0.25">
      <c r="E210" s="9" t="str">
        <f>IFERROR(IF($K210 = "", "", IF(INDEX(tblDocuments[Link Out], $K210) = "", INDEX(tblDocuments[Display Name], $K210), HYPERLINK(INDEX(tblDocuments[Link Out], $K210), INDEX(tblDocuments[Display Name], $K210)))), "")</f>
        <v/>
      </c>
      <c r="F210" s="7" t="str">
        <f>IFERROR(IF($K210 = "", "", IF(TRIM(INDEX(tblDocuments[Document Type], $K210) &amp; "") = "", "—", TRIM(INDEX(tblDocuments[Document Type], $K210) &amp; ""))), "")</f>
        <v/>
      </c>
      <c r="G210" s="7" t="str">
        <f>IFERROR(IF($K210 = "", "", INDEX(tblDocuments[Scope Group], $K210)), "")</f>
        <v/>
      </c>
      <c r="H210" s="10" t="str">
        <f>IFERROR(IF($K210 = "", "", IF(TRIM(INDEX(tblDocuments[Description], $K210) &amp; "") = "", "—", IF(LEN(TRIM(INDEX(tblDocuments[Description], $K210) &amp; "")) &gt; 165, LEFT(TRIM(INDEX(tblDocuments[Description], $K210) &amp; ""), 164) &amp; "…", TRIM(INDEX(tblDocuments[Description], $K210) &amp; "")))), "")</f>
        <v/>
      </c>
      <c r="K210" s="1" t="str">
        <f>IFERROR(IF(199 &gt; ResultCount, "", MATCH(LARGE(tblDocuments[Sort Key], 199), tblDocuments[Sort Key], 0)), "")</f>
        <v/>
      </c>
    </row>
    <row r="211" spans="5:11" ht="30" customHeight="1" x14ac:dyDescent="0.25">
      <c r="E211" s="9" t="str">
        <f>IFERROR(IF($K211 = "", "", IF(INDEX(tblDocuments[Link Out], $K211) = "", INDEX(tblDocuments[Display Name], $K211), HYPERLINK(INDEX(tblDocuments[Link Out], $K211), INDEX(tblDocuments[Display Name], $K211)))), "")</f>
        <v/>
      </c>
      <c r="F211" s="7" t="str">
        <f>IFERROR(IF($K211 = "", "", IF(TRIM(INDEX(tblDocuments[Document Type], $K211) &amp; "") = "", "—", TRIM(INDEX(tblDocuments[Document Type], $K211) &amp; ""))), "")</f>
        <v/>
      </c>
      <c r="G211" s="7" t="str">
        <f>IFERROR(IF($K211 = "", "", INDEX(tblDocuments[Scope Group], $K211)), "")</f>
        <v/>
      </c>
      <c r="H211" s="10" t="str">
        <f>IFERROR(IF($K211 = "", "", IF(TRIM(INDEX(tblDocuments[Description], $K211) &amp; "") = "", "—", IF(LEN(TRIM(INDEX(tblDocuments[Description], $K211) &amp; "")) &gt; 165, LEFT(TRIM(INDEX(tblDocuments[Description], $K211) &amp; ""), 164) &amp; "…", TRIM(INDEX(tblDocuments[Description], $K211) &amp; "")))), "")</f>
        <v/>
      </c>
      <c r="K211" s="1" t="str">
        <f>IFERROR(IF(200 &gt; ResultCount, "", MATCH(LARGE(tblDocuments[Sort Key], 200), tblDocuments[Sort Key], 0)), "")</f>
        <v/>
      </c>
    </row>
    <row r="212" spans="5:11" s="1" customFormat="1" ht="26.1" customHeight="1" x14ac:dyDescent="0.25">
      <c r="E212" s="34" t="str">
        <f>Calc!$B$10</f>
        <v>—  end of results  —</v>
      </c>
      <c r="F212" s="34"/>
      <c r="G212" s="34"/>
      <c r="H212" s="34"/>
    </row>
  </sheetData>
  <sheetProtection sheet="1" objects="1" scenarios="1"/>
  <mergeCells count="10">
    <mergeCell ref="B9:C9"/>
    <mergeCell ref="E9:H9"/>
    <mergeCell ref="B37:C52"/>
    <mergeCell ref="E212:H212"/>
    <mergeCell ref="B2:H2"/>
    <mergeCell ref="B3:H3"/>
    <mergeCell ref="E5:H5"/>
    <mergeCell ref="E6:H6"/>
    <mergeCell ref="E7:F7"/>
    <mergeCell ref="G7:H7"/>
  </mergeCells>
  <conditionalFormatting sqref="B12:C35">
    <cfRule type="expression" dxfId="4" priority="1" stopIfTrue="1">
      <formula>AND($B12 &lt;&gt; "", OR($B12 = SelScope, AND(TRIM(SelScope &amp; "") = "", $B12 = "All")))</formula>
    </cfRule>
    <cfRule type="expression" dxfId="3" priority="2">
      <formula>$B12 &lt;&gt; ""</formula>
    </cfRule>
  </conditionalFormatting>
  <conditionalFormatting sqref="E6:H6">
    <cfRule type="expression" dxfId="2" priority="5">
      <formula>LEN($E$6) &gt; 0</formula>
    </cfRule>
  </conditionalFormatting>
  <conditionalFormatting sqref="E9:H9">
    <cfRule type="expression" dxfId="1" priority="4">
      <formula>ResultCount = 0</formula>
    </cfRule>
  </conditionalFormatting>
  <conditionalFormatting sqref="E12:H211">
    <cfRule type="expression" dxfId="0" priority="3">
      <formula>$E12 &lt;&gt; ""</formula>
    </cfRule>
  </conditionalFormatting>
  <dataValidations count="2">
    <dataValidation type="list" errorStyle="warning" allowBlank="1" showInputMessage="1" showErrorMessage="1" errorTitle="Scope not in the repository" error="That scope does not exist yet. Choose one from the list, or leave the cell blank to search all scopes." promptTitle="Choose a scope" prompt="Pick All, or any scope from the repository." sqref="B6" xr:uid="{00000000-0002-0000-0000-000000000000}">
      <formula1>ScopeChoices</formula1>
    </dataValidation>
    <dataValidation type="list" errorStyle="warning" allowBlank="1" showInputMessage="1" showErrorMessage="1" errorTitle="Pick one of the two options" error="Use the dropdown: 'Stay in the chosen scope' or 'Search all scopes'." promptTitle="When searching" prompt="Choose whether a search stays inside the chosen Scope (and any slicer), or ignores both." sqref="B8" xr:uid="{00000000-0002-0000-0000-000001000000}">
      <formula1>"Stay in the chosen scope,Search all scopes"</formula1>
    </dataValidation>
  </dataValidation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C7284"/>
  </sheetPr>
  <dimension ref="A1:P113"/>
  <sheetViews>
    <sheetView showGridLines="0" workbookViewId="0">
      <pane ySplit="4" topLeftCell="A5" activePane="bottomLeft" state="frozen"/>
      <selection pane="bottomLeft" activeCell="C13" sqref="C13"/>
    </sheetView>
  </sheetViews>
  <sheetFormatPr defaultRowHeight="15" x14ac:dyDescent="0.25"/>
  <cols>
    <col min="1" max="1" width="18.7109375" style="11" customWidth="1"/>
    <col min="2" max="2" width="20.7109375" style="11" customWidth="1"/>
    <col min="3" max="3" width="52.7109375" style="11" customWidth="1"/>
    <col min="4" max="4" width="58.7109375" style="12" customWidth="1"/>
    <col min="5" max="5" width="76.7109375" style="13" customWidth="1"/>
    <col min="6" max="6" width="44.7109375" style="13" customWidth="1"/>
    <col min="7" max="15" width="30.7109375" style="14" hidden="1" customWidth="1"/>
  </cols>
  <sheetData>
    <row r="1" spans="1:16" ht="20.25" x14ac:dyDescent="0.35">
      <c r="A1" s="15" t="s">
        <v>13</v>
      </c>
    </row>
    <row r="2" spans="1:16" x14ac:dyDescent="0.25">
      <c r="A2" s="16" t="s">
        <v>14</v>
      </c>
    </row>
    <row r="4" spans="1:16" x14ac:dyDescent="0.25">
      <c r="A4" s="11" t="s">
        <v>479</v>
      </c>
      <c r="B4" s="11" t="s">
        <v>480</v>
      </c>
      <c r="C4" s="11" t="s">
        <v>481</v>
      </c>
      <c r="D4" s="12" t="s">
        <v>482</v>
      </c>
      <c r="E4" s="13" t="s">
        <v>483</v>
      </c>
      <c r="F4" s="13" t="s">
        <v>484</v>
      </c>
      <c r="G4" s="14" t="s">
        <v>485</v>
      </c>
      <c r="H4" s="14" t="s">
        <v>486</v>
      </c>
      <c r="I4" s="14" t="s">
        <v>487</v>
      </c>
      <c r="J4" s="14" t="s">
        <v>488</v>
      </c>
      <c r="K4" s="14" t="s">
        <v>489</v>
      </c>
      <c r="L4" s="14" t="s">
        <v>490</v>
      </c>
      <c r="M4" s="14" t="s">
        <v>491</v>
      </c>
      <c r="N4" s="14" t="s">
        <v>492</v>
      </c>
      <c r="O4" s="14" t="s">
        <v>493</v>
      </c>
      <c r="P4" t="s">
        <v>494</v>
      </c>
    </row>
    <row r="5" spans="1:16" ht="28.5" x14ac:dyDescent="0.25">
      <c r="A5" s="11" t="s">
        <v>15</v>
      </c>
      <c r="B5" s="11" t="s">
        <v>16</v>
      </c>
      <c r="C5" s="11" t="s">
        <v>17</v>
      </c>
      <c r="D5" s="12" t="s">
        <v>18</v>
      </c>
      <c r="E5" s="13" t="s">
        <v>19</v>
      </c>
      <c r="F5" s="13" t="s">
        <v>20</v>
      </c>
      <c r="G5" s="14" t="str">
        <f>IF(TRIM(tblDocuments[[#This Row],[Scope]] &amp; "") = "", "(Unspecified)", TRIM(tblDocuments[[#This Row],[Scope]] &amp; ""))</f>
        <v>Design</v>
      </c>
      <c r="H5" s="14">
        <f>SUBTOTAL(103, tblDocuments[[#This Row],[Scope Group]])</f>
        <v>1</v>
      </c>
      <c r="I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hld avs platform high level design end to end high level design for the azure vmware solution private cloud landing zone covering region selection sddc sizing and connectivity avs hld high level design landing zone sddc private cloud architecture </v>
      </c>
      <c r="J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platform high level design avs hld high level design landing zone sddc private cloud architecture hld design </v>
      </c>
      <c r="K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 s="14">
        <f>IF(ScopeOverride = 1, 1, tblDocuments[[#This Row],[Visible]] * --(((TRIM(SelScope &amp; "") = "") + (TRIM(SelScope &amp; "") = "All") + (tblDocuments[[#This Row],[Scope Group]] = TRIM(SelScope &amp; ""))) &gt; 0))</f>
        <v>1</v>
      </c>
      <c r="N5" s="14">
        <f>IF(tblDocuments[[#This Row],[In Scope]] * IF(TermCount = 0, 1, IF(BestHits &gt; 0, --(tblDocuments[[#This Row],[Hits]] = BestHits), 0)) = 1, tblDocuments[[#This Row],[Score]] * 2000000 + (2000000 - ROW()), -1)</f>
        <v>1999995</v>
      </c>
      <c r="O5" s="14" t="str">
        <f>IF(TRIM(tblDocuments[[#This Row],[Document Name]] &amp; "") = "", "(untitled document)", TRIM(tblDocuments[[#This Row],[Document Name]] &amp; "")) &amp; IF(LEFT(LOWER(TRIM(tblDocuments[[#This Row],[Document Link]] &amp; "")), 4) = "http", "", "   (no link)")</f>
        <v>AVS Platform High Level Design</v>
      </c>
      <c r="P5" t="str">
        <f>IF(LEFT(LOWER(TRIM(tblDocuments[[#This Row],[Document Link]] &amp; "")), 4) = "http", TRIM(tblDocuments[[#This Row],[Document Link]] &amp; ""), "")</f>
        <v>https://contoso.sharepoint.com/sites/AVSProgram/Shared%20Documents/Design/AVS-Platform-High-Level-Design.docx</v>
      </c>
    </row>
    <row r="6" spans="1:16" ht="28.5" x14ac:dyDescent="0.25">
      <c r="A6" s="11" t="s">
        <v>15</v>
      </c>
      <c r="B6" s="11" t="s">
        <v>21</v>
      </c>
      <c r="C6" s="11" t="s">
        <v>22</v>
      </c>
      <c r="D6" s="12" t="s">
        <v>23</v>
      </c>
      <c r="E6" s="13" t="s">
        <v>24</v>
      </c>
      <c r="F6" s="13" t="s">
        <v>25</v>
      </c>
      <c r="G6" s="14" t="str">
        <f>IF(TRIM(tblDocuments[[#This Row],[Scope]] &amp; "") = "", "(Unspecified)", TRIM(tblDocuments[[#This Row],[Scope]] &amp; ""))</f>
        <v>Design</v>
      </c>
      <c r="H6" s="14">
        <f>SUBTOTAL(103, tblDocuments[[#This Row],[Scope Group]])</f>
        <v>1</v>
      </c>
      <c r="I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lld avs private cloud low level design detailed build parameters for the production private cloud cluster layout host sku management network cidrs and vcenter configuration lld low level design build cluster av36 vcenter sddc </v>
      </c>
      <c r="J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private cloud low level design lld low level design build cluster av36 vcenter sddc lld design </v>
      </c>
      <c r="K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 s="14">
        <f>IF(ScopeOverride = 1, 1, tblDocuments[[#This Row],[Visible]] * --(((TRIM(SelScope &amp; "") = "") + (TRIM(SelScope &amp; "") = "All") + (tblDocuments[[#This Row],[Scope Group]] = TRIM(SelScope &amp; ""))) &gt; 0))</f>
        <v>1</v>
      </c>
      <c r="N6" s="14">
        <f>IF(tblDocuments[[#This Row],[In Scope]] * IF(TermCount = 0, 1, IF(BestHits &gt; 0, --(tblDocuments[[#This Row],[Hits]] = BestHits), 0)) = 1, tblDocuments[[#This Row],[Score]] * 2000000 + (2000000 - ROW()), -1)</f>
        <v>1999994</v>
      </c>
      <c r="O6" s="14" t="str">
        <f>IF(TRIM(tblDocuments[[#This Row],[Document Name]] &amp; "") = "", "(untitled document)", TRIM(tblDocuments[[#This Row],[Document Name]] &amp; "")) &amp; IF(LEFT(LOWER(TRIM(tblDocuments[[#This Row],[Document Link]] &amp; "")), 4) = "http", "", "   (no link)")</f>
        <v>AVS Private Cloud Low Level Design</v>
      </c>
      <c r="P6" t="str">
        <f>IF(LEFT(LOWER(TRIM(tblDocuments[[#This Row],[Document Link]] &amp; "")), 4) = "http", TRIM(tblDocuments[[#This Row],[Document Link]] &amp; ""), "")</f>
        <v>https://contoso.sharepoint.com/sites/AVSProgram/Shared%20Documents/Design/AVS-Private-Cloud-Low-Level-Design.docx</v>
      </c>
    </row>
    <row r="7" spans="1:16" ht="28.5" x14ac:dyDescent="0.25">
      <c r="A7" s="11" t="s">
        <v>15</v>
      </c>
      <c r="B7" s="11" t="s">
        <v>26</v>
      </c>
      <c r="C7" s="11" t="s">
        <v>27</v>
      </c>
      <c r="D7" s="12" t="s">
        <v>28</v>
      </c>
      <c r="E7" s="13" t="s">
        <v>29</v>
      </c>
      <c r="F7" s="13" t="s">
        <v>30</v>
      </c>
      <c r="G7" s="14" t="str">
        <f>IF(TRIM(tblDocuments[[#This Row],[Scope]] &amp; "") = "", "(Unspecified)", TRIM(tblDocuments[[#This Row],[Scope]] &amp; ""))</f>
        <v>Design</v>
      </c>
      <c r="H7" s="14">
        <f>SUBTOTAL(103, tblDocuments[[#This Row],[Scope Group]])</f>
        <v>1</v>
      </c>
      <c r="I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architecture avs reference architecture overview reference architecture describing how avs integrates with azure native services expressroute global reach and on premises vsphere reference architecture expressroute global reach integration vsphere </v>
      </c>
      <c r="J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reference architecture overview reference architecture expressroute global reach integration vsphere architecture design </v>
      </c>
      <c r="K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 s="14">
        <f>IF(ScopeOverride = 1, 1, tblDocuments[[#This Row],[Visible]] * --(((TRIM(SelScope &amp; "") = "") + (TRIM(SelScope &amp; "") = "All") + (tblDocuments[[#This Row],[Scope Group]] = TRIM(SelScope &amp; ""))) &gt; 0))</f>
        <v>1</v>
      </c>
      <c r="N7" s="14">
        <f>IF(tblDocuments[[#This Row],[In Scope]] * IF(TermCount = 0, 1, IF(BestHits &gt; 0, --(tblDocuments[[#This Row],[Hits]] = BestHits), 0)) = 1, tblDocuments[[#This Row],[Score]] * 2000000 + (2000000 - ROW()), -1)</f>
        <v>1999993</v>
      </c>
      <c r="O7" s="14" t="str">
        <f>IF(TRIM(tblDocuments[[#This Row],[Document Name]] &amp; "") = "", "(untitled document)", TRIM(tblDocuments[[#This Row],[Document Name]] &amp; "")) &amp; IF(LEFT(LOWER(TRIM(tblDocuments[[#This Row],[Document Link]] &amp; "")), 4) = "http", "", "   (no link)")</f>
        <v>AVS Reference Architecture Overview</v>
      </c>
      <c r="P7" t="str">
        <f>IF(LEFT(LOWER(TRIM(tblDocuments[[#This Row],[Document Link]] &amp; "")), 4) = "http", TRIM(tblDocuments[[#This Row],[Document Link]] &amp; ""), "")</f>
        <v>https://contoso.sharepoint.com/sites/AVSProgram/Shared%20Documents/Design/AVS-Reference-Architecture-Overview.pdf</v>
      </c>
    </row>
    <row r="8" spans="1:16" ht="28.5" x14ac:dyDescent="0.25">
      <c r="A8" s="11" t="s">
        <v>15</v>
      </c>
      <c r="B8" s="11" t="s">
        <v>31</v>
      </c>
      <c r="C8" s="11" t="s">
        <v>32</v>
      </c>
      <c r="D8" s="12" t="s">
        <v>33</v>
      </c>
      <c r="E8" s="13" t="s">
        <v>34</v>
      </c>
      <c r="F8" s="13" t="s">
        <v>35</v>
      </c>
      <c r="G8" s="14" t="str">
        <f>IF(TRIM(tblDocuments[[#This Row],[Scope]] &amp; "") = "", "(Unspecified)", TRIM(tblDocuments[[#This Row],[Scope]] &amp; ""))</f>
        <v>Design</v>
      </c>
      <c r="H8" s="14">
        <f>SUBTOTAL(103, tblDocuments[[#This Row],[Scope Group]])</f>
        <v>1</v>
      </c>
      <c r="I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diagram avs logical architecture diagram visio source for the logical architecture diagram used across the programme design authority pack diagram visio logical architecture design authority </v>
      </c>
      <c r="J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logical architecture diagram diagram visio logical architecture design authority diagram design </v>
      </c>
      <c r="K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 s="14">
        <f>IF(ScopeOverride = 1, 1, tblDocuments[[#This Row],[Visible]] * --(((TRIM(SelScope &amp; "") = "") + (TRIM(SelScope &amp; "") = "All") + (tblDocuments[[#This Row],[Scope Group]] = TRIM(SelScope &amp; ""))) &gt; 0))</f>
        <v>1</v>
      </c>
      <c r="N8" s="14">
        <f>IF(tblDocuments[[#This Row],[In Scope]] * IF(TermCount = 0, 1, IF(BestHits &gt; 0, --(tblDocuments[[#This Row],[Hits]] = BestHits), 0)) = 1, tblDocuments[[#This Row],[Score]] * 2000000 + (2000000 - ROW()), -1)</f>
        <v>1999992</v>
      </c>
      <c r="O8" s="14" t="str">
        <f>IF(TRIM(tblDocuments[[#This Row],[Document Name]] &amp; "") = "", "(untitled document)", TRIM(tblDocuments[[#This Row],[Document Name]] &amp; "")) &amp; IF(LEFT(LOWER(TRIM(tblDocuments[[#This Row],[Document Link]] &amp; "")), 4) = "http", "", "   (no link)")</f>
        <v>AVS Logical Architecture Diagram</v>
      </c>
      <c r="P8" t="str">
        <f>IF(LEFT(LOWER(TRIM(tblDocuments[[#This Row],[Document Link]] &amp; "")), 4) = "http", TRIM(tblDocuments[[#This Row],[Document Link]] &amp; ""), "")</f>
        <v>https://contoso.sharepoint.com/sites/AVSProgram/Shared%20Documents/Design/AVS-Logical-Architecture-Diagram.vsdx</v>
      </c>
    </row>
    <row r="9" spans="1:16" ht="28.5" x14ac:dyDescent="0.25">
      <c r="A9" s="11" t="s">
        <v>15</v>
      </c>
      <c r="B9" s="11" t="s">
        <v>36</v>
      </c>
      <c r="C9" s="11" t="s">
        <v>37</v>
      </c>
      <c r="D9" s="12" t="s">
        <v>38</v>
      </c>
      <c r="E9" s="13" t="s">
        <v>39</v>
      </c>
      <c r="F9" s="13" t="s">
        <v>40</v>
      </c>
      <c r="G9" s="14" t="str">
        <f>IF(TRIM(tblDocuments[[#This Row],[Scope]] &amp; "") = "", "(Unspecified)", TRIM(tblDocuments[[#This Row],[Scope]] &amp; ""))</f>
        <v>Design</v>
      </c>
      <c r="H9" s="14">
        <f>SUBTOTAL(103, tblDocuments[[#This Row],[Scope Group]])</f>
        <v>1</v>
      </c>
      <c r="I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decision record adr 014 host sku selection av36p vs av52 architecture decision record capturing the comparison and final selection of the av36p host sku for the production estate adr decision record av36p av52 host sku sizing </v>
      </c>
      <c r="J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adr 014 host sku selection av36p vs av52 adr decision record av36p av52 host sku sizing decision record design </v>
      </c>
      <c r="K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 s="14">
        <f>IF(ScopeOverride = 1, 1, tblDocuments[[#This Row],[Visible]] * --(((TRIM(SelScope &amp; "") = "") + (TRIM(SelScope &amp; "") = "All") + (tblDocuments[[#This Row],[Scope Group]] = TRIM(SelScope &amp; ""))) &gt; 0))</f>
        <v>1</v>
      </c>
      <c r="N9" s="14">
        <f>IF(tblDocuments[[#This Row],[In Scope]] * IF(TermCount = 0, 1, IF(BestHits &gt; 0, --(tblDocuments[[#This Row],[Hits]] = BestHits), 0)) = 1, tblDocuments[[#This Row],[Score]] * 2000000 + (2000000 - ROW()), -1)</f>
        <v>1999991</v>
      </c>
      <c r="O9" s="14" t="str">
        <f>IF(TRIM(tblDocuments[[#This Row],[Document Name]] &amp; "") = "", "(untitled document)", TRIM(tblDocuments[[#This Row],[Document Name]] &amp; "")) &amp; IF(LEFT(LOWER(TRIM(tblDocuments[[#This Row],[Document Link]] &amp; "")), 4) = "http", "", "   (no link)")</f>
        <v>ADR-014 Host SKU Selection AV36P vs AV52</v>
      </c>
      <c r="P9" t="str">
        <f>IF(LEFT(LOWER(TRIM(tblDocuments[[#This Row],[Document Link]] &amp; "")), 4) = "http", TRIM(tblDocuments[[#This Row],[Document Link]] &amp; ""), "")</f>
        <v>https://contoso.sharepoint.com/sites/AVSProgram/Shared%20Documents/Design/ADR-014-Host-SKU-Selection-AV36P-vs-AV52.docx</v>
      </c>
    </row>
    <row r="10" spans="1:16" ht="28.5" x14ac:dyDescent="0.25">
      <c r="A10" s="11" t="s">
        <v>15</v>
      </c>
      <c r="B10" s="11" t="s">
        <v>41</v>
      </c>
      <c r="C10" s="11" t="s">
        <v>42</v>
      </c>
      <c r="D10" s="12" t="s">
        <v>43</v>
      </c>
      <c r="E10" s="13" t="s">
        <v>44</v>
      </c>
      <c r="F10" s="13" t="s">
        <v>45</v>
      </c>
      <c r="G10" s="14" t="str">
        <f>IF(TRIM(tblDocuments[[#This Row],[Scope]] &amp; "") = "", "(Unspecified)", TRIM(tblDocuments[[#This Row],[Scope]] &amp; ""))</f>
        <v>Design</v>
      </c>
      <c r="H10" s="14">
        <f>SUBTOTAL(103, tblDocuments[[#This Row],[Scope Group]])</f>
        <v>1</v>
      </c>
      <c r="I1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assessment avs sizing and capacity assessment capacity model translating the discovered on premises estate into required avs node counts including growth and slack assumptions sizing capacity assessment node count growth rvtools </v>
      </c>
      <c r="J1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sizing and capacity assessment sizing capacity assessment node count growth rvtools assessment design </v>
      </c>
      <c r="K1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 s="14">
        <f>IF(ScopeOverride = 1, 1, tblDocuments[[#This Row],[Visible]] * --(((TRIM(SelScope &amp; "") = "") + (TRIM(SelScope &amp; "") = "All") + (tblDocuments[[#This Row],[Scope Group]] = TRIM(SelScope &amp; ""))) &gt; 0))</f>
        <v>1</v>
      </c>
      <c r="N10" s="14">
        <f>IF(tblDocuments[[#This Row],[In Scope]] * IF(TermCount = 0, 1, IF(BestHits &gt; 0, --(tblDocuments[[#This Row],[Hits]] = BestHits), 0)) = 1, tblDocuments[[#This Row],[Score]] * 2000000 + (2000000 - ROW()), -1)</f>
        <v>1999990</v>
      </c>
      <c r="O10" s="14" t="str">
        <f>IF(TRIM(tblDocuments[[#This Row],[Document Name]] &amp; "") = "", "(untitled document)", TRIM(tblDocuments[[#This Row],[Document Name]] &amp; "")) &amp; IF(LEFT(LOWER(TRIM(tblDocuments[[#This Row],[Document Link]] &amp; "")), 4) = "http", "", "   (no link)")</f>
        <v>AVS Sizing and Capacity Assessment</v>
      </c>
      <c r="P10" t="str">
        <f>IF(LEFT(LOWER(TRIM(tblDocuments[[#This Row],[Document Link]] &amp; "")), 4) = "http", TRIM(tblDocuments[[#This Row],[Document Link]] &amp; ""), "")</f>
        <v>https://contoso.sharepoint.com/sites/AVSProgram/Shared%20Documents/Design/AVS-Sizing-and-Capacity-Assessment.xlsx</v>
      </c>
    </row>
    <row r="11" spans="1:16" ht="28.5" x14ac:dyDescent="0.25">
      <c r="A11" s="11" t="s">
        <v>15</v>
      </c>
      <c r="B11" s="11" t="s">
        <v>46</v>
      </c>
      <c r="C11" s="11" t="s">
        <v>47</v>
      </c>
      <c r="D11" s="12" t="s">
        <v>48</v>
      </c>
      <c r="E11" s="13" t="s">
        <v>49</v>
      </c>
      <c r="F11" s="13" t="s">
        <v>50</v>
      </c>
      <c r="G11" s="14" t="str">
        <f>IF(TRIM(tblDocuments[[#This Row],[Scope]] &amp; "") = "", "(Unspecified)", TRIM(tblDocuments[[#This Row],[Scope]] &amp; ""))</f>
        <v>Design</v>
      </c>
      <c r="H11" s="14">
        <f>SUBTOTAL(103, tblDocuments[[#This Row],[Scope Group]])</f>
        <v>1</v>
      </c>
      <c r="I1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whitepaper stretched clusters for avs explained whitepaper on stretched cluster availability zones in avs the sla implications and when the pattern is appropriate stretched cluster availability zone sla vsan resilience </v>
      </c>
      <c r="J1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stretched clusters for avs explained stretched cluster availability zone sla vsan resilience whitepaper design </v>
      </c>
      <c r="K1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1" s="14">
        <f>IF(ScopeOverride = 1, 1, tblDocuments[[#This Row],[Visible]] * --(((TRIM(SelScope &amp; "") = "") + (TRIM(SelScope &amp; "") = "All") + (tblDocuments[[#This Row],[Scope Group]] = TRIM(SelScope &amp; ""))) &gt; 0))</f>
        <v>1</v>
      </c>
      <c r="N11" s="14">
        <f>IF(tblDocuments[[#This Row],[In Scope]] * IF(TermCount = 0, 1, IF(BestHits &gt; 0, --(tblDocuments[[#This Row],[Hits]] = BestHits), 0)) = 1, tblDocuments[[#This Row],[Score]] * 2000000 + (2000000 - ROW()), -1)</f>
        <v>1999989</v>
      </c>
      <c r="O11" s="14" t="str">
        <f>IF(TRIM(tblDocuments[[#This Row],[Document Name]] &amp; "") = "", "(untitled document)", TRIM(tblDocuments[[#This Row],[Document Name]] &amp; "")) &amp; IF(LEFT(LOWER(TRIM(tblDocuments[[#This Row],[Document Link]] &amp; "")), 4) = "http", "", "   (no link)")</f>
        <v>Stretched Clusters for AVS Explained</v>
      </c>
      <c r="P11" t="str">
        <f>IF(LEFT(LOWER(TRIM(tblDocuments[[#This Row],[Document Link]] &amp; "")), 4) = "http", TRIM(tblDocuments[[#This Row],[Document Link]] &amp; ""), "")</f>
        <v>https://contoso.sharepoint.com/sites/AVSProgram/Shared%20Documents/Design/Stretched-Clusters-for-AVS-Explained.pdf</v>
      </c>
    </row>
    <row r="12" spans="1:16" ht="28.5" x14ac:dyDescent="0.25">
      <c r="A12" s="11" t="s">
        <v>15</v>
      </c>
      <c r="B12" s="11" t="s">
        <v>51</v>
      </c>
      <c r="C12" s="11" t="s">
        <v>52</v>
      </c>
      <c r="D12" s="12" t="s">
        <v>53</v>
      </c>
      <c r="E12" s="13" t="s">
        <v>54</v>
      </c>
      <c r="F12" s="13" t="s">
        <v>55</v>
      </c>
      <c r="G12" s="14" t="str">
        <f>IF(TRIM(tblDocuments[[#This Row],[Scope]] &amp; "") = "", "(Unspecified)", TRIM(tblDocuments[[#This Row],[Scope]] &amp; ""))</f>
        <v>Design</v>
      </c>
      <c r="H12" s="14">
        <f>SUBTOTAL(103, tblDocuments[[#This Row],[Scope Group]])</f>
        <v>1</v>
      </c>
      <c r="I1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guide avs landing zone accelerator walkthrough walkthrough of the microsoft avs landing zone accelerator and the deltas applied for this programme landing zone accelerator caf enterprise scale bicep </v>
      </c>
      <c r="J1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landing zone accelerator walkthrough landing zone accelerator caf enterprise scale bicep guide design </v>
      </c>
      <c r="K1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2" s="14">
        <f>IF(ScopeOverride = 1, 1, tblDocuments[[#This Row],[Visible]] * --(((TRIM(SelScope &amp; "") = "") + (TRIM(SelScope &amp; "") = "All") + (tblDocuments[[#This Row],[Scope Group]] = TRIM(SelScope &amp; ""))) &gt; 0))</f>
        <v>1</v>
      </c>
      <c r="N12" s="14">
        <f>IF(tblDocuments[[#This Row],[In Scope]] * IF(TermCount = 0, 1, IF(BestHits &gt; 0, --(tblDocuments[[#This Row],[Hits]] = BestHits), 0)) = 1, tblDocuments[[#This Row],[Score]] * 2000000 + (2000000 - ROW()), -1)</f>
        <v>1999988</v>
      </c>
      <c r="O12" s="14" t="str">
        <f>IF(TRIM(tblDocuments[[#This Row],[Document Name]] &amp; "") = "", "(untitled document)", TRIM(tblDocuments[[#This Row],[Document Name]] &amp; "")) &amp; IF(LEFT(LOWER(TRIM(tblDocuments[[#This Row],[Document Link]] &amp; "")), 4) = "http", "", "   (no link)")</f>
        <v>AVS Landing Zone Accelerator Walkthrough</v>
      </c>
      <c r="P12" t="str">
        <f>IF(LEFT(LOWER(TRIM(tblDocuments[[#This Row],[Document Link]] &amp; "")), 4) = "http", TRIM(tblDocuments[[#This Row],[Document Link]] &amp; ""), "")</f>
        <v>https://contoso.sharepoint.com/sites/AVSProgram/Shared%20Documents/Design/AVS-Landing-Zone-Accelerator-Walkthrough.docx</v>
      </c>
    </row>
    <row r="13" spans="1:16" ht="28.5" x14ac:dyDescent="0.25">
      <c r="A13" s="11" t="s">
        <v>15</v>
      </c>
      <c r="B13" s="11" t="s">
        <v>16</v>
      </c>
      <c r="C13" s="11" t="s">
        <v>56</v>
      </c>
      <c r="D13" s="12" t="s">
        <v>57</v>
      </c>
      <c r="E13" s="13" t="s">
        <v>58</v>
      </c>
      <c r="F13" s="13" t="s">
        <v>59</v>
      </c>
      <c r="G13" s="14" t="str">
        <f>IF(TRIM(tblDocuments[[#This Row],[Scope]] &amp; "") = "", "(Unspecified)", TRIM(tblDocuments[[#This Row],[Scope]] &amp; ""))</f>
        <v>Design</v>
      </c>
      <c r="H13" s="14">
        <f>SUBTOTAL(103, tblDocuments[[#This Row],[Scope Group]])</f>
        <v>1</v>
      </c>
      <c r="I1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hld hybrid connectivity high level design high level design for hybrid connectivity between on premises datacentres azure regions and the avs private clouds hybrid connectivity hld expressroute vpn mpls </v>
      </c>
      <c r="J1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hybrid connectivity high level design hybrid connectivity hld expressroute vpn mpls hld design </v>
      </c>
      <c r="K1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3" s="14">
        <f>IF(ScopeOverride = 1, 1, tblDocuments[[#This Row],[Visible]] * --(((TRIM(SelScope &amp; "") = "") + (TRIM(SelScope &amp; "") = "All") + (tblDocuments[[#This Row],[Scope Group]] = TRIM(SelScope &amp; ""))) &gt; 0))</f>
        <v>1</v>
      </c>
      <c r="N13" s="14">
        <f>IF(tblDocuments[[#This Row],[In Scope]] * IF(TermCount = 0, 1, IF(BestHits &gt; 0, --(tblDocuments[[#This Row],[Hits]] = BestHits), 0)) = 1, tblDocuments[[#This Row],[Score]] * 2000000 + (2000000 - ROW()), -1)</f>
        <v>1999987</v>
      </c>
      <c r="O13" s="14" t="str">
        <f>IF(TRIM(tblDocuments[[#This Row],[Document Name]] &amp; "") = "", "(untitled document)", TRIM(tblDocuments[[#This Row],[Document Name]] &amp; "")) &amp; IF(LEFT(LOWER(TRIM(tblDocuments[[#This Row],[Document Link]] &amp; "")), 4) = "http", "", "   (no link)")</f>
        <v>Hybrid Connectivity High Level Design</v>
      </c>
      <c r="P13" t="str">
        <f>IF(LEFT(LOWER(TRIM(tblDocuments[[#This Row],[Document Link]] &amp; "")), 4) = "http", TRIM(tblDocuments[[#This Row],[Document Link]] &amp; ""), "")</f>
        <v>https://contoso.sharepoint.com/sites/AVSProgram/Shared%20Documents/Design/Hybrid-Connectivity-High-Level-Design.docx</v>
      </c>
    </row>
    <row r="14" spans="1:16" ht="28.5" x14ac:dyDescent="0.25">
      <c r="A14" s="11" t="s">
        <v>15</v>
      </c>
      <c r="B14" s="11" t="s">
        <v>60</v>
      </c>
      <c r="C14" s="11" t="s">
        <v>61</v>
      </c>
      <c r="D14" s="12" t="s">
        <v>62</v>
      </c>
      <c r="E14" s="13" t="s">
        <v>63</v>
      </c>
      <c r="F14" s="13" t="s">
        <v>64</v>
      </c>
      <c r="G14" s="14" t="str">
        <f>IF(TRIM(tblDocuments[[#This Row],[Scope]] &amp; "") = "", "(Unspecified)", TRIM(tblDocuments[[#This Row],[Scope]] &amp; ""))</f>
        <v>Design</v>
      </c>
      <c r="H14" s="14">
        <f>SUBTOTAL(103, tblDocuments[[#This Row],[Scope Group]])</f>
        <v>1</v>
      </c>
      <c r="I1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template design document template programme standard template for hld and lld deliverables including the mandatory design decision and assumption tables template hld lld standard documentation </v>
      </c>
      <c r="J1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design document template template hld lld standard documentation template design </v>
      </c>
      <c r="K14"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4"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4" s="14">
        <f>IF(ScopeOverride = 1, 1, tblDocuments[[#This Row],[Visible]] * --(((TRIM(SelScope &amp; "") = "") + (TRIM(SelScope &amp; "") = "All") + (tblDocuments[[#This Row],[Scope Group]] = TRIM(SelScope &amp; ""))) &gt; 0))</f>
        <v>1</v>
      </c>
      <c r="N14" s="14">
        <f>IF(tblDocuments[[#This Row],[In Scope]] * IF(TermCount = 0, 1, IF(BestHits &gt; 0, --(tblDocuments[[#This Row],[Hits]] = BestHits), 0)) = 1, tblDocuments[[#This Row],[Score]] * 2000000 + (2000000 - ROW()), -1)</f>
        <v>1999986</v>
      </c>
      <c r="O14" s="14" t="str">
        <f>IF(TRIM(tblDocuments[[#This Row],[Document Name]] &amp; "") = "", "(untitled document)", TRIM(tblDocuments[[#This Row],[Document Name]] &amp; "")) &amp; IF(LEFT(LOWER(TRIM(tblDocuments[[#This Row],[Document Link]] &amp; "")), 4) = "http", "", "   (no link)")</f>
        <v>Design Document Template</v>
      </c>
      <c r="P14" t="str">
        <f>IF(LEFT(LOWER(TRIM(tblDocuments[[#This Row],[Document Link]] &amp; "")), 4) = "http", TRIM(tblDocuments[[#This Row],[Document Link]] &amp; ""), "")</f>
        <v>https://contoso.sharepoint.com/sites/AVSProgram/Shared%20Documents/Design/Design-Document-Template.docx</v>
      </c>
    </row>
    <row r="15" spans="1:16" ht="28.5" x14ac:dyDescent="0.25">
      <c r="A15" s="11" t="s">
        <v>15</v>
      </c>
      <c r="B15" s="11" t="s">
        <v>65</v>
      </c>
      <c r="C15" s="11" t="s">
        <v>66</v>
      </c>
      <c r="D15" s="12" t="s">
        <v>67</v>
      </c>
      <c r="E15" s="13" t="s">
        <v>68</v>
      </c>
      <c r="F15" s="13" t="s">
        <v>69</v>
      </c>
      <c r="G15" s="14" t="str">
        <f>IF(TRIM(tblDocuments[[#This Row],[Scope]] &amp; "") = "", "(Unspecified)", TRIM(tblDocuments[[#This Row],[Scope]] &amp; ""))</f>
        <v>Design</v>
      </c>
      <c r="H15" s="14">
        <f>SUBTOTAL(103, tblDocuments[[#This Row],[Scope Group]])</f>
        <v>1</v>
      </c>
      <c r="I1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report avs well architected review findings findings and prioritised recommendations from the well architected framework review of the avs platform waf well architected review findings recommendations </v>
      </c>
      <c r="J1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well architected review findings waf well architected review findings recommendations report design </v>
      </c>
      <c r="K1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5" s="14">
        <f>IF(ScopeOverride = 1, 1, tblDocuments[[#This Row],[Visible]] * --(((TRIM(SelScope &amp; "") = "") + (TRIM(SelScope &amp; "") = "All") + (tblDocuments[[#This Row],[Scope Group]] = TRIM(SelScope &amp; ""))) &gt; 0))</f>
        <v>1</v>
      </c>
      <c r="N15" s="14">
        <f>IF(tblDocuments[[#This Row],[In Scope]] * IF(TermCount = 0, 1, IF(BestHits &gt; 0, --(tblDocuments[[#This Row],[Hits]] = BestHits), 0)) = 1, tblDocuments[[#This Row],[Score]] * 2000000 + (2000000 - ROW()), -1)</f>
        <v>1999985</v>
      </c>
      <c r="O15" s="14" t="str">
        <f>IF(TRIM(tblDocuments[[#This Row],[Document Name]] &amp; "") = "", "(untitled document)", TRIM(tblDocuments[[#This Row],[Document Name]] &amp; "")) &amp; IF(LEFT(LOWER(TRIM(tblDocuments[[#This Row],[Document Link]] &amp; "")), 4) = "http", "", "   (no link)")</f>
        <v>AVS Well Architected Review Findings</v>
      </c>
      <c r="P15" t="str">
        <f>IF(LEFT(LOWER(TRIM(tblDocuments[[#This Row],[Document Link]] &amp; "")), 4) = "http", TRIM(tblDocuments[[#This Row],[Document Link]] &amp; ""), "")</f>
        <v>https://contoso.sharepoint.com/sites/AVSProgram/Shared%20Documents/Design/AVS-Well-Architected-Review-Findings.pdf</v>
      </c>
    </row>
    <row r="16" spans="1:16" ht="28.5" x14ac:dyDescent="0.25">
      <c r="A16" s="11" t="s">
        <v>70</v>
      </c>
      <c r="B16" s="11" t="s">
        <v>71</v>
      </c>
      <c r="C16" s="11" t="s">
        <v>72</v>
      </c>
      <c r="D16" s="12" t="s">
        <v>73</v>
      </c>
      <c r="E16" s="13" t="s">
        <v>74</v>
      </c>
      <c r="F16" s="13" t="s">
        <v>75</v>
      </c>
      <c r="G16" s="14" t="str">
        <f>IF(TRIM(tblDocuments[[#This Row],[Scope]] &amp; "") = "", "(Unspecified)", TRIM(tblDocuments[[#This Row],[Scope]] &amp; ""))</f>
        <v>Migration</v>
      </c>
      <c r="H16" s="14">
        <f>SUBTOTAL(103, tblDocuments[[#This Row],[Scope Group]])</f>
        <v>1</v>
      </c>
      <c r="I1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strategy avs migration strategy and approach overall migration strategy covering wave planning the 6r disposition model and the cutover governance model migration strategy waves 6r disposition cutover </v>
      </c>
      <c r="J1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migration strategy and approach migration strategy waves 6r disposition cutover strategy migration </v>
      </c>
      <c r="K1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6" s="14">
        <f>IF(ScopeOverride = 1, 1, tblDocuments[[#This Row],[Visible]] * --(((TRIM(SelScope &amp; "") = "") + (TRIM(SelScope &amp; "") = "All") + (tblDocuments[[#This Row],[Scope Group]] = TRIM(SelScope &amp; ""))) &gt; 0))</f>
        <v>1</v>
      </c>
      <c r="N16" s="14">
        <f>IF(tblDocuments[[#This Row],[In Scope]] * IF(TermCount = 0, 1, IF(BestHits &gt; 0, --(tblDocuments[[#This Row],[Hits]] = BestHits), 0)) = 1, tblDocuments[[#This Row],[Score]] * 2000000 + (2000000 - ROW()), -1)</f>
        <v>1999984</v>
      </c>
      <c r="O16" s="14" t="str">
        <f>IF(TRIM(tblDocuments[[#This Row],[Document Name]] &amp; "") = "", "(untitled document)", TRIM(tblDocuments[[#This Row],[Document Name]] &amp; "")) &amp; IF(LEFT(LOWER(TRIM(tblDocuments[[#This Row],[Document Link]] &amp; "")), 4) = "http", "", "   (no link)")</f>
        <v>AVS Migration Strategy and Approach</v>
      </c>
      <c r="P16" t="str">
        <f>IF(LEFT(LOWER(TRIM(tblDocuments[[#This Row],[Document Link]] &amp; "")), 4) = "http", TRIM(tblDocuments[[#This Row],[Document Link]] &amp; ""), "")</f>
        <v>https://contoso.sharepoint.com/sites/AVSProgram/Shared%20Documents/Migration/AVS-Migration-Strategy-and-Approach.docx</v>
      </c>
    </row>
    <row r="17" spans="1:16" ht="28.5" x14ac:dyDescent="0.25">
      <c r="A17" s="11" t="s">
        <v>70</v>
      </c>
      <c r="B17" s="11" t="s">
        <v>76</v>
      </c>
      <c r="C17" s="11" t="s">
        <v>77</v>
      </c>
      <c r="D17" s="12" t="s">
        <v>78</v>
      </c>
      <c r="E17" s="13" t="s">
        <v>79</v>
      </c>
      <c r="F17" s="13" t="s">
        <v>80</v>
      </c>
      <c r="G17" s="14" t="str">
        <f>IF(TRIM(tblDocuments[[#This Row],[Scope]] &amp; "") = "", "(Unspecified)", TRIM(tblDocuments[[#This Row],[Scope]] &amp; ""))</f>
        <v>Migration</v>
      </c>
      <c r="H17" s="14">
        <f>SUBTOTAL(103, tblDocuments[[#This Row],[Scope Group]])</f>
        <v>1</v>
      </c>
      <c r="I1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runbook hcx bulk migration runbook step by step runbook for executing an hcx bulk migration wave including pre checks execution and post migration validation hcx bulk migration runbook wave cutover vmotion </v>
      </c>
      <c r="J1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hcx bulk migration runbook hcx bulk migration runbook wave cutover vmotion runbook migration </v>
      </c>
      <c r="K1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7" s="14">
        <f>IF(ScopeOverride = 1, 1, tblDocuments[[#This Row],[Visible]] * --(((TRIM(SelScope &amp; "") = "") + (TRIM(SelScope &amp; "") = "All") + (tblDocuments[[#This Row],[Scope Group]] = TRIM(SelScope &amp; ""))) &gt; 0))</f>
        <v>1</v>
      </c>
      <c r="N17" s="14">
        <f>IF(tblDocuments[[#This Row],[In Scope]] * IF(TermCount = 0, 1, IF(BestHits &gt; 0, --(tblDocuments[[#This Row],[Hits]] = BestHits), 0)) = 1, tblDocuments[[#This Row],[Score]] * 2000000 + (2000000 - ROW()), -1)</f>
        <v>1999983</v>
      </c>
      <c r="O17" s="14" t="str">
        <f>IF(TRIM(tblDocuments[[#This Row],[Document Name]] &amp; "") = "", "(untitled document)", TRIM(tblDocuments[[#This Row],[Document Name]] &amp; "")) &amp; IF(LEFT(LOWER(TRIM(tblDocuments[[#This Row],[Document Link]] &amp; "")), 4) = "http", "", "   (no link)")</f>
        <v>HCX Bulk Migration Runbook</v>
      </c>
      <c r="P17" t="str">
        <f>IF(LEFT(LOWER(TRIM(tblDocuments[[#This Row],[Document Link]] &amp; "")), 4) = "http", TRIM(tblDocuments[[#This Row],[Document Link]] &amp; ""), "")</f>
        <v>https://contoso.sharepoint.com/sites/AVSProgram/Shared%20Documents/Migration/HCX-Bulk-Migration-Runbook.docx</v>
      </c>
    </row>
    <row r="18" spans="1:16" x14ac:dyDescent="0.25">
      <c r="A18" s="11" t="s">
        <v>70</v>
      </c>
      <c r="B18" s="11" t="s">
        <v>76</v>
      </c>
      <c r="C18" s="11" t="s">
        <v>81</v>
      </c>
      <c r="D18" s="12" t="s">
        <v>82</v>
      </c>
      <c r="E18" s="13" t="s">
        <v>83</v>
      </c>
      <c r="F18" s="13" t="s">
        <v>84</v>
      </c>
      <c r="G18" s="14" t="str">
        <f>IF(TRIM(tblDocuments[[#This Row],[Scope]] &amp; "") = "", "(Unspecified)", TRIM(tblDocuments[[#This Row],[Scope]] &amp; ""))</f>
        <v>Migration</v>
      </c>
      <c r="H18" s="14">
        <f>SUBTOTAL(103, tblDocuments[[#This Row],[Scope Group]])</f>
        <v>1</v>
      </c>
      <c r="I1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runbook hcx vmotion live migration runbook runbook for zero downtime live migration of tier 1 workloads using hcx vmotion hcx vmotion live migration zero downtime tier 1 </v>
      </c>
      <c r="J1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hcx vmotion live migration runbook hcx vmotion live migration zero downtime tier 1 runbook migration </v>
      </c>
      <c r="K1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8" s="14">
        <f>IF(ScopeOverride = 1, 1, tblDocuments[[#This Row],[Visible]] * --(((TRIM(SelScope &amp; "") = "") + (TRIM(SelScope &amp; "") = "All") + (tblDocuments[[#This Row],[Scope Group]] = TRIM(SelScope &amp; ""))) &gt; 0))</f>
        <v>1</v>
      </c>
      <c r="N18" s="14">
        <f>IF(tblDocuments[[#This Row],[In Scope]] * IF(TermCount = 0, 1, IF(BestHits &gt; 0, --(tblDocuments[[#This Row],[Hits]] = BestHits), 0)) = 1, tblDocuments[[#This Row],[Score]] * 2000000 + (2000000 - ROW()), -1)</f>
        <v>1999982</v>
      </c>
      <c r="O18" s="14" t="str">
        <f>IF(TRIM(tblDocuments[[#This Row],[Document Name]] &amp; "") = "", "(untitled document)", TRIM(tblDocuments[[#This Row],[Document Name]] &amp; "")) &amp; IF(LEFT(LOWER(TRIM(tblDocuments[[#This Row],[Document Link]] &amp; "")), 4) = "http", "", "   (no link)")</f>
        <v>HCX vMotion Live Migration Runbook</v>
      </c>
      <c r="P18" t="str">
        <f>IF(LEFT(LOWER(TRIM(tblDocuments[[#This Row],[Document Link]] &amp; "")), 4) = "http", TRIM(tblDocuments[[#This Row],[Document Link]] &amp; ""), "")</f>
        <v>https://contoso.sharepoint.com/sites/AVSProgram/Shared%20Documents/Migration/HCX-vMotion-Live-Migration-Runbook.docx</v>
      </c>
    </row>
    <row r="19" spans="1:16" ht="28.5" x14ac:dyDescent="0.25">
      <c r="A19" s="11" t="s">
        <v>70</v>
      </c>
      <c r="B19" s="11" t="s">
        <v>51</v>
      </c>
      <c r="C19" s="11" t="s">
        <v>85</v>
      </c>
      <c r="D19" s="12" t="s">
        <v>86</v>
      </c>
      <c r="E19" s="13" t="s">
        <v>87</v>
      </c>
      <c r="F19" s="13" t="s">
        <v>88</v>
      </c>
      <c r="G19" s="14" t="str">
        <f>IF(TRIM(tblDocuments[[#This Row],[Scope]] &amp; "") = "", "(Unspecified)", TRIM(tblDocuments[[#This Row],[Scope]] &amp; ""))</f>
        <v>Migration</v>
      </c>
      <c r="H19" s="14">
        <f>SUBTOTAL(103, tblDocuments[[#This Row],[Scope Group]])</f>
        <v>1</v>
      </c>
      <c r="I1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guide vmware hcx deployment and configuration guide deployment guide for hcx connector and hcx cloud manager service mesh creation and network extension setup hcx service mesh network extension connector cloud manager deployment </v>
      </c>
      <c r="J1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vmware hcx deployment and configuration guide hcx service mesh network extension connector cloud manager deployment guide migration </v>
      </c>
      <c r="K1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9" s="14">
        <f>IF(ScopeOverride = 1, 1, tblDocuments[[#This Row],[Visible]] * --(((TRIM(SelScope &amp; "") = "") + (TRIM(SelScope &amp; "") = "All") + (tblDocuments[[#This Row],[Scope Group]] = TRIM(SelScope &amp; ""))) &gt; 0))</f>
        <v>1</v>
      </c>
      <c r="N19" s="14">
        <f>IF(tblDocuments[[#This Row],[In Scope]] * IF(TermCount = 0, 1, IF(BestHits &gt; 0, --(tblDocuments[[#This Row],[Hits]] = BestHits), 0)) = 1, tblDocuments[[#This Row],[Score]] * 2000000 + (2000000 - ROW()), -1)</f>
        <v>1999981</v>
      </c>
      <c r="O19" s="14" t="str">
        <f>IF(TRIM(tblDocuments[[#This Row],[Document Name]] &amp; "") = "", "(untitled document)", TRIM(tblDocuments[[#This Row],[Document Name]] &amp; "")) &amp; IF(LEFT(LOWER(TRIM(tblDocuments[[#This Row],[Document Link]] &amp; "")), 4) = "http", "", "   (no link)")</f>
        <v>VMware HCX Deployment and Configuration Guide</v>
      </c>
      <c r="P19" t="str">
        <f>IF(LEFT(LOWER(TRIM(tblDocuments[[#This Row],[Document Link]] &amp; "")), 4) = "http", TRIM(tblDocuments[[#This Row],[Document Link]] &amp; ""), "")</f>
        <v>https://contoso.sharepoint.com/sites/AVSProgram/Shared%20Documents/Migration/VMware-HCX-Deployment-and-Configuration-Guide.docx</v>
      </c>
    </row>
    <row r="20" spans="1:16" x14ac:dyDescent="0.25">
      <c r="A20" s="11" t="s">
        <v>70</v>
      </c>
      <c r="B20" s="11" t="s">
        <v>89</v>
      </c>
      <c r="C20" s="11" t="s">
        <v>90</v>
      </c>
      <c r="D20" s="12" t="s">
        <v>91</v>
      </c>
      <c r="E20" s="13" t="s">
        <v>92</v>
      </c>
      <c r="F20" s="13" t="s">
        <v>93</v>
      </c>
      <c r="G20" s="14" t="str">
        <f>IF(TRIM(tblDocuments[[#This Row],[Scope]] &amp; "") = "", "(Unspecified)", TRIM(tblDocuments[[#This Row],[Scope]] &amp; ""))</f>
        <v>Migration</v>
      </c>
      <c r="H20" s="14">
        <f>SUBTOTAL(103, tblDocuments[[#This Row],[Scope Group]])</f>
        <v>1</v>
      </c>
      <c r="I2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checklist migration wave readiness checklist go no go checklist completed before each migration wave is authorised to proceed checklist readiness wave go no go gating </v>
      </c>
      <c r="J2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migration wave readiness checklist checklist readiness wave go no go gating checklist migration </v>
      </c>
      <c r="K2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2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20" s="14">
        <f>IF(ScopeOverride = 1, 1, tblDocuments[[#This Row],[Visible]] * --(((TRIM(SelScope &amp; "") = "") + (TRIM(SelScope &amp; "") = "All") + (tblDocuments[[#This Row],[Scope Group]] = TRIM(SelScope &amp; ""))) &gt; 0))</f>
        <v>1</v>
      </c>
      <c r="N20" s="14">
        <f>IF(tblDocuments[[#This Row],[In Scope]] * IF(TermCount = 0, 1, IF(BestHits &gt; 0, --(tblDocuments[[#This Row],[Hits]] = BestHits), 0)) = 1, tblDocuments[[#This Row],[Score]] * 2000000 + (2000000 - ROW()), -1)</f>
        <v>1999980</v>
      </c>
      <c r="O20" s="14" t="str">
        <f>IF(TRIM(tblDocuments[[#This Row],[Document Name]] &amp; "") = "", "(untitled document)", TRIM(tblDocuments[[#This Row],[Document Name]] &amp; "")) &amp; IF(LEFT(LOWER(TRIM(tblDocuments[[#This Row],[Document Link]] &amp; "")), 4) = "http", "", "   (no link)")</f>
        <v>Migration Wave Readiness Checklist</v>
      </c>
      <c r="P20" t="str">
        <f>IF(LEFT(LOWER(TRIM(tblDocuments[[#This Row],[Document Link]] &amp; "")), 4) = "http", TRIM(tblDocuments[[#This Row],[Document Link]] &amp; ""), "")</f>
        <v>https://contoso.sharepoint.com/sites/AVSProgram/Shared%20Documents/Migration/Migration-Wave-Readiness-Checklist.xlsx</v>
      </c>
    </row>
    <row r="21" spans="1:16" ht="28.5" x14ac:dyDescent="0.25">
      <c r="A21" s="11" t="s">
        <v>70</v>
      </c>
      <c r="B21" s="11" t="s">
        <v>94</v>
      </c>
      <c r="C21" s="11" t="s">
        <v>95</v>
      </c>
      <c r="D21" s="12" t="s">
        <v>96</v>
      </c>
      <c r="E21" s="13" t="s">
        <v>97</v>
      </c>
      <c r="F21" s="13" t="s">
        <v>98</v>
      </c>
      <c r="G21" s="14" t="str">
        <f>IF(TRIM(tblDocuments[[#This Row],[Scope]] &amp; "") = "", "(Unspecified)", TRIM(tblDocuments[[#This Row],[Scope]] &amp; ""))</f>
        <v>Migration</v>
      </c>
      <c r="H21" s="14">
        <f>SUBTOTAL(103, tblDocuments[[#This Row],[Scope Group]])</f>
        <v>1</v>
      </c>
      <c r="I2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plan migration wave plan and schedule master wave plan listing application groupings target dates owners and dependencies for all migration waves wave plan schedule application dependency owner </v>
      </c>
      <c r="J2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migration wave plan and schedule wave plan schedule application dependency owner plan migration </v>
      </c>
      <c r="K2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2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21" s="14">
        <f>IF(ScopeOverride = 1, 1, tblDocuments[[#This Row],[Visible]] * --(((TRIM(SelScope &amp; "") = "") + (TRIM(SelScope &amp; "") = "All") + (tblDocuments[[#This Row],[Scope Group]] = TRIM(SelScope &amp; ""))) &gt; 0))</f>
        <v>1</v>
      </c>
      <c r="N21" s="14">
        <f>IF(tblDocuments[[#This Row],[In Scope]] * IF(TermCount = 0, 1, IF(BestHits &gt; 0, --(tblDocuments[[#This Row],[Hits]] = BestHits), 0)) = 1, tblDocuments[[#This Row],[Score]] * 2000000 + (2000000 - ROW()), -1)</f>
        <v>1999979</v>
      </c>
      <c r="O21" s="14" t="str">
        <f>IF(TRIM(tblDocuments[[#This Row],[Document Name]] &amp; "") = "", "(untitled document)", TRIM(tblDocuments[[#This Row],[Document Name]] &amp; "")) &amp; IF(LEFT(LOWER(TRIM(tblDocuments[[#This Row],[Document Link]] &amp; "")), 4) = "http", "", "   (no link)")</f>
        <v>Migration Wave Plan and Schedule</v>
      </c>
      <c r="P21" t="str">
        <f>IF(LEFT(LOWER(TRIM(tblDocuments[[#This Row],[Document Link]] &amp; "")), 4) = "http", TRIM(tblDocuments[[#This Row],[Document Link]] &amp; ""), "")</f>
        <v>https://contoso.sharepoint.com/sites/AVSProgram/Shared%20Documents/Migration/Migration-Wave-Plan-and-Schedule.xlsx</v>
      </c>
    </row>
    <row r="22" spans="1:16" ht="28.5" x14ac:dyDescent="0.25">
      <c r="A22" s="11" t="s">
        <v>70</v>
      </c>
      <c r="B22" s="11" t="s">
        <v>41</v>
      </c>
      <c r="C22" s="11" t="s">
        <v>99</v>
      </c>
      <c r="D22" s="12" t="s">
        <v>100</v>
      </c>
      <c r="E22" s="13" t="s">
        <v>101</v>
      </c>
      <c r="F22" s="13" t="s">
        <v>102</v>
      </c>
      <c r="G22" s="14" t="str">
        <f>IF(TRIM(tblDocuments[[#This Row],[Scope]] &amp; "") = "", "(Unspecified)", TRIM(tblDocuments[[#This Row],[Scope]] &amp; ""))</f>
        <v>Migration</v>
      </c>
      <c r="H22" s="14">
        <f>SUBTOTAL(103, tblDocuments[[#This Row],[Scope Group]])</f>
        <v>1</v>
      </c>
      <c r="I2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assessment azure migrate discovery report discovery and dependency mapping output from azure migrate for the in scope on premises estate azure migrate discovery dependency mapping inventory assessment </v>
      </c>
      <c r="J2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azure migrate discovery report azure migrate discovery dependency mapping inventory assessment assessment migration </v>
      </c>
      <c r="K2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2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22" s="14">
        <f>IF(ScopeOverride = 1, 1, tblDocuments[[#This Row],[Visible]] * --(((TRIM(SelScope &amp; "") = "") + (TRIM(SelScope &amp; "") = "All") + (tblDocuments[[#This Row],[Scope Group]] = TRIM(SelScope &amp; ""))) &gt; 0))</f>
        <v>1</v>
      </c>
      <c r="N22" s="14">
        <f>IF(tblDocuments[[#This Row],[In Scope]] * IF(TermCount = 0, 1, IF(BestHits &gt; 0, --(tblDocuments[[#This Row],[Hits]] = BestHits), 0)) = 1, tblDocuments[[#This Row],[Score]] * 2000000 + (2000000 - ROW()), -1)</f>
        <v>1999978</v>
      </c>
      <c r="O22" s="14" t="str">
        <f>IF(TRIM(tblDocuments[[#This Row],[Document Name]] &amp; "") = "", "(untitled document)", TRIM(tblDocuments[[#This Row],[Document Name]] &amp; "")) &amp; IF(LEFT(LOWER(TRIM(tblDocuments[[#This Row],[Document Link]] &amp; "")), 4) = "http", "", "   (no link)")</f>
        <v>Azure Migrate Discovery Report</v>
      </c>
      <c r="P22" t="str">
        <f>IF(LEFT(LOWER(TRIM(tblDocuments[[#This Row],[Document Link]] &amp; "")), 4) = "http", TRIM(tblDocuments[[#This Row],[Document Link]] &amp; ""), "")</f>
        <v>https://contoso.sharepoint.com/sites/AVSProgram/Shared%20Documents/Migration/Azure-Migrate-Discovery-Report.xlsx</v>
      </c>
    </row>
    <row r="23" spans="1:16" ht="28.5" x14ac:dyDescent="0.25">
      <c r="A23" s="11" t="s">
        <v>70</v>
      </c>
      <c r="B23" s="11" t="s">
        <v>76</v>
      </c>
      <c r="C23" s="11" t="s">
        <v>103</v>
      </c>
      <c r="D23" s="12" t="s">
        <v>104</v>
      </c>
      <c r="E23" s="13" t="s">
        <v>105</v>
      </c>
      <c r="F23" s="13" t="s">
        <v>106</v>
      </c>
      <c r="G23" s="14" t="str">
        <f>IF(TRIM(tblDocuments[[#This Row],[Scope]] &amp; "") = "", "(Unspecified)", TRIM(tblDocuments[[#This Row],[Scope]] &amp; ""))</f>
        <v>Migration</v>
      </c>
      <c r="H23" s="14">
        <f>SUBTOTAL(103, tblDocuments[[#This Row],[Scope Group]])</f>
        <v>1</v>
      </c>
      <c r="I2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runbook application cutover runbook template reusable cutover runbook template covering freeze migrate validate smoke test and rollback steps cutover runbook template rollback smoke test freeze </v>
      </c>
      <c r="J2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application cutover runbook template cutover runbook template rollback smoke test freeze runbook migration </v>
      </c>
      <c r="K2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2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23" s="14">
        <f>IF(ScopeOverride = 1, 1, tblDocuments[[#This Row],[Visible]] * --(((TRIM(SelScope &amp; "") = "") + (TRIM(SelScope &amp; "") = "All") + (tblDocuments[[#This Row],[Scope Group]] = TRIM(SelScope &amp; ""))) &gt; 0))</f>
        <v>1</v>
      </c>
      <c r="N23" s="14">
        <f>IF(tblDocuments[[#This Row],[In Scope]] * IF(TermCount = 0, 1, IF(BestHits &gt; 0, --(tblDocuments[[#This Row],[Hits]] = BestHits), 0)) = 1, tblDocuments[[#This Row],[Score]] * 2000000 + (2000000 - ROW()), -1)</f>
        <v>1999977</v>
      </c>
      <c r="O23" s="14" t="str">
        <f>IF(TRIM(tblDocuments[[#This Row],[Document Name]] &amp; "") = "", "(untitled document)", TRIM(tblDocuments[[#This Row],[Document Name]] &amp; "")) &amp; IF(LEFT(LOWER(TRIM(tblDocuments[[#This Row],[Document Link]] &amp; "")), 4) = "http", "", "   (no link)")</f>
        <v>Application Cutover Runbook Template</v>
      </c>
      <c r="P23" t="str">
        <f>IF(LEFT(LOWER(TRIM(tblDocuments[[#This Row],[Document Link]] &amp; "")), 4) = "http", TRIM(tblDocuments[[#This Row],[Document Link]] &amp; ""), "")</f>
        <v>https://contoso.sharepoint.com/sites/AVSProgram/Shared%20Documents/Migration/Application-Cutover-Runbook-Template.docx</v>
      </c>
    </row>
    <row r="24" spans="1:16" ht="28.5" x14ac:dyDescent="0.25">
      <c r="A24" s="11" t="s">
        <v>70</v>
      </c>
      <c r="B24" s="11" t="s">
        <v>107</v>
      </c>
      <c r="C24" s="11" t="s">
        <v>108</v>
      </c>
      <c r="D24" s="12" t="s">
        <v>109</v>
      </c>
      <c r="E24" s="13" t="s">
        <v>110</v>
      </c>
      <c r="F24" s="13" t="s">
        <v>111</v>
      </c>
      <c r="G24" s="14" t="str">
        <f>IF(TRIM(tblDocuments[[#This Row],[Scope]] &amp; "") = "", "(Unspecified)", TRIM(tblDocuments[[#This Row],[Scope]] &amp; ""))</f>
        <v>Migration</v>
      </c>
      <c r="H24" s="14">
        <f>SUBTOTAL(103, tblDocuments[[#This Row],[Scope Group]])</f>
        <v>1</v>
      </c>
      <c r="I2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sop rollback procedure for failed migrations standard operating procedure for rolling a workload back to the source vsphere estate after a failed migration rollback failback sop failed migration recovery </v>
      </c>
      <c r="J2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rollback procedure for failed migrations rollback failback sop failed migration recovery sop migration </v>
      </c>
      <c r="K24"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24"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24" s="14">
        <f>IF(ScopeOverride = 1, 1, tblDocuments[[#This Row],[Visible]] * --(((TRIM(SelScope &amp; "") = "") + (TRIM(SelScope &amp; "") = "All") + (tblDocuments[[#This Row],[Scope Group]] = TRIM(SelScope &amp; ""))) &gt; 0))</f>
        <v>1</v>
      </c>
      <c r="N24" s="14">
        <f>IF(tblDocuments[[#This Row],[In Scope]] * IF(TermCount = 0, 1, IF(BestHits &gt; 0, --(tblDocuments[[#This Row],[Hits]] = BestHits), 0)) = 1, tblDocuments[[#This Row],[Score]] * 2000000 + (2000000 - ROW()), -1)</f>
        <v>1999976</v>
      </c>
      <c r="O24" s="14" t="str">
        <f>IF(TRIM(tblDocuments[[#This Row],[Document Name]] &amp; "") = "", "(untitled document)", TRIM(tblDocuments[[#This Row],[Document Name]] &amp; "")) &amp; IF(LEFT(LOWER(TRIM(tblDocuments[[#This Row],[Document Link]] &amp; "")), 4) = "http", "", "   (no link)")</f>
        <v>Rollback Procedure for Failed Migrations</v>
      </c>
      <c r="P24" t="str">
        <f>IF(LEFT(LOWER(TRIM(tblDocuments[[#This Row],[Document Link]] &amp; "")), 4) = "http", TRIM(tblDocuments[[#This Row],[Document Link]] &amp; ""), "")</f>
        <v>https://contoso.sharepoint.com/sites/AVSProgram/Shared%20Documents/Migration/Rollback-Procedure-for-Failed-Migrations.docx</v>
      </c>
    </row>
    <row r="25" spans="1:16" ht="28.5" x14ac:dyDescent="0.25">
      <c r="A25" s="11" t="s">
        <v>70</v>
      </c>
      <c r="B25" s="11" t="s">
        <v>51</v>
      </c>
      <c r="C25" s="11" t="s">
        <v>112</v>
      </c>
      <c r="D25" s="12" t="s">
        <v>113</v>
      </c>
      <c r="E25" s="13" t="s">
        <v>114</v>
      </c>
      <c r="F25" s="13" t="s">
        <v>115</v>
      </c>
      <c r="G25" s="14" t="str">
        <f>IF(TRIM(tblDocuments[[#This Row],[Scope]] &amp; "") = "", "(Unspecified)", TRIM(tblDocuments[[#This Row],[Scope]] &amp; ""))</f>
        <v>Migration</v>
      </c>
      <c r="H25" s="14">
        <f>SUBTOTAL(103, tblDocuments[[#This Row],[Scope Group]])</f>
        <v>1</v>
      </c>
      <c r="I2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guide cold migration and ovf import guide guide for migrating powered off workloads and appliance imports using cold migration and ovf ova import cold migration ovf ova appliance import powered off </v>
      </c>
      <c r="J2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cold migration and ovf import guide cold migration ovf ova appliance import powered off guide migration </v>
      </c>
      <c r="K2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2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25" s="14">
        <f>IF(ScopeOverride = 1, 1, tblDocuments[[#This Row],[Visible]] * --(((TRIM(SelScope &amp; "") = "") + (TRIM(SelScope &amp; "") = "All") + (tblDocuments[[#This Row],[Scope Group]] = TRIM(SelScope &amp; ""))) &gt; 0))</f>
        <v>1</v>
      </c>
      <c r="N25" s="14">
        <f>IF(tblDocuments[[#This Row],[In Scope]] * IF(TermCount = 0, 1, IF(BestHits &gt; 0, --(tblDocuments[[#This Row],[Hits]] = BestHits), 0)) = 1, tblDocuments[[#This Row],[Score]] * 2000000 + (2000000 - ROW()), -1)</f>
        <v>1999975</v>
      </c>
      <c r="O25" s="14" t="str">
        <f>IF(TRIM(tblDocuments[[#This Row],[Document Name]] &amp; "") = "", "(untitled document)", TRIM(tblDocuments[[#This Row],[Document Name]] &amp; "")) &amp; IF(LEFT(LOWER(TRIM(tblDocuments[[#This Row],[Document Link]] &amp; "")), 4) = "http", "", "   (no link)")</f>
        <v>Cold Migration and OVF Import Guide</v>
      </c>
      <c r="P25" t="str">
        <f>IF(LEFT(LOWER(TRIM(tblDocuments[[#This Row],[Document Link]] &amp; "")), 4) = "http", TRIM(tblDocuments[[#This Row],[Document Link]] &amp; ""), "")</f>
        <v>https://contoso.sharepoint.com/sites/AVSProgram/Shared%20Documents/Migration/Cold-Migration-and-OVF-Import-Guide.docx</v>
      </c>
    </row>
    <row r="26" spans="1:16" ht="28.5" x14ac:dyDescent="0.25">
      <c r="A26" s="11" t="s">
        <v>70</v>
      </c>
      <c r="B26" s="11" t="s">
        <v>65</v>
      </c>
      <c r="C26" s="11" t="s">
        <v>116</v>
      </c>
      <c r="D26" s="12" t="s">
        <v>117</v>
      </c>
      <c r="E26" s="13" t="s">
        <v>118</v>
      </c>
      <c r="F26" s="13" t="s">
        <v>119</v>
      </c>
      <c r="G26" s="14" t="str">
        <f>IF(TRIM(tblDocuments[[#This Row],[Scope]] &amp; "") = "", "(Unspecified)", TRIM(tblDocuments[[#This Row],[Scope]] &amp; ""))</f>
        <v>Migration</v>
      </c>
      <c r="H26" s="14">
        <f>SUBTOTAL(103, tblDocuments[[#This Row],[Scope Group]])</f>
        <v>1</v>
      </c>
      <c r="I2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report migration wave 3 closure report closure report for wave 3 including migrated workload counts defects raised and lessons learned closure wave 3 lessons learned defects report </v>
      </c>
      <c r="J2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migration wave 3 closure report closure wave 3 lessons learned defects report report migration </v>
      </c>
      <c r="K2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2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26" s="14">
        <f>IF(ScopeOverride = 1, 1, tblDocuments[[#This Row],[Visible]] * --(((TRIM(SelScope &amp; "") = "") + (TRIM(SelScope &amp; "") = "All") + (tblDocuments[[#This Row],[Scope Group]] = TRIM(SelScope &amp; ""))) &gt; 0))</f>
        <v>1</v>
      </c>
      <c r="N26" s="14">
        <f>IF(tblDocuments[[#This Row],[In Scope]] * IF(TermCount = 0, 1, IF(BestHits &gt; 0, --(tblDocuments[[#This Row],[Hits]] = BestHits), 0)) = 1, tblDocuments[[#This Row],[Score]] * 2000000 + (2000000 - ROW()), -1)</f>
        <v>1999974</v>
      </c>
      <c r="O26" s="14" t="str">
        <f>IF(TRIM(tblDocuments[[#This Row],[Document Name]] &amp; "") = "", "(untitled document)", TRIM(tblDocuments[[#This Row],[Document Name]] &amp; "")) &amp; IF(LEFT(LOWER(TRIM(tblDocuments[[#This Row],[Document Link]] &amp; "")), 4) = "http", "", "   (no link)")</f>
        <v>Migration Wave 3 Closure Report</v>
      </c>
      <c r="P26" t="str">
        <f>IF(LEFT(LOWER(TRIM(tblDocuments[[#This Row],[Document Link]] &amp; "")), 4) = "http", TRIM(tblDocuments[[#This Row],[Document Link]] &amp; ""), "")</f>
        <v>https://contoso.sharepoint.com/sites/AVSProgram/Shared%20Documents/Migration/Migration-Wave-3-Closure-Report.pdf</v>
      </c>
    </row>
    <row r="27" spans="1:16" ht="28.5" x14ac:dyDescent="0.25">
      <c r="A27" s="11" t="s">
        <v>70</v>
      </c>
      <c r="B27" s="11" t="s">
        <v>120</v>
      </c>
      <c r="C27" s="11" t="s">
        <v>121</v>
      </c>
      <c r="D27" s="12" t="s">
        <v>122</v>
      </c>
      <c r="E27" s="13" t="s">
        <v>123</v>
      </c>
      <c r="F27" s="13" t="s">
        <v>124</v>
      </c>
      <c r="G27" s="14" t="str">
        <f>IF(TRIM(tblDocuments[[#This Row],[Scope]] &amp; "") = "", "(Unspecified)", TRIM(tblDocuments[[#This Row],[Scope]] &amp; ""))</f>
        <v>Migration</v>
      </c>
      <c r="H27" s="14">
        <f>SUBTOTAL(103, tblDocuments[[#This Row],[Scope Group]])</f>
        <v>1</v>
      </c>
      <c r="I2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faq migration faq for application owners frequently asked questions aimed at application owners preparing their workloads for migration to avs faq application owner questions preparation </v>
      </c>
      <c r="J2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migration faq for application owners faq application owner questions preparation faq migration </v>
      </c>
      <c r="K2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2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27" s="14">
        <f>IF(ScopeOverride = 1, 1, tblDocuments[[#This Row],[Visible]] * --(((TRIM(SelScope &amp; "") = "") + (TRIM(SelScope &amp; "") = "All") + (tblDocuments[[#This Row],[Scope Group]] = TRIM(SelScope &amp; ""))) &gt; 0))</f>
        <v>1</v>
      </c>
      <c r="N27" s="14">
        <f>IF(tblDocuments[[#This Row],[In Scope]] * IF(TermCount = 0, 1, IF(BestHits &gt; 0, --(tblDocuments[[#This Row],[Hits]] = BestHits), 0)) = 1, tblDocuments[[#This Row],[Score]] * 2000000 + (2000000 - ROW()), -1)</f>
        <v>1999973</v>
      </c>
      <c r="O27" s="14" t="str">
        <f>IF(TRIM(tblDocuments[[#This Row],[Document Name]] &amp; "") = "", "(untitled document)", TRIM(tblDocuments[[#This Row],[Document Name]] &amp; "")) &amp; IF(LEFT(LOWER(TRIM(tblDocuments[[#This Row],[Document Link]] &amp; "")), 4) = "http", "", "   (no link)")</f>
        <v>Migration FAQ for Application Owners</v>
      </c>
      <c r="P27" t="str">
        <f>IF(LEFT(LOWER(TRIM(tblDocuments[[#This Row],[Document Link]] &amp; "")), 4) = "http", TRIM(tblDocuments[[#This Row],[Document Link]] &amp; ""), "")</f>
        <v>https://contoso.sharepoint.com/sites/AVSProgram/Shared%20Documents/Migration/Migration-FAQ-for-Application-Owners.docx</v>
      </c>
    </row>
    <row r="28" spans="1:16" ht="28.5" x14ac:dyDescent="0.25">
      <c r="A28" s="11" t="s">
        <v>70</v>
      </c>
      <c r="B28" s="11" t="s">
        <v>51</v>
      </c>
      <c r="C28" s="11" t="s">
        <v>125</v>
      </c>
      <c r="D28" s="12" t="s">
        <v>126</v>
      </c>
      <c r="E28" s="13" t="s">
        <v>127</v>
      </c>
      <c r="F28" s="13" t="s">
        <v>128</v>
      </c>
      <c r="G28" s="14" t="str">
        <f>IF(TRIM(tblDocuments[[#This Row],[Scope]] &amp; "") = "", "(Unspecified)", TRIM(tblDocuments[[#This Row],[Scope]] &amp; ""))</f>
        <v>Migration</v>
      </c>
      <c r="H28" s="14">
        <f>SUBTOTAL(103, tblDocuments[[#This Row],[Scope Group]])</f>
        <v>1</v>
      </c>
      <c r="I2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guide physical to virtual server conversion guide guide for converting remaining physical servers into virtual machines prior to migration into avs p2v physical conversion virtualisation legacy </v>
      </c>
      <c r="J2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physical to virtual server conversion guide p2v physical conversion virtualisation legacy guide migration </v>
      </c>
      <c r="K2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2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28" s="14">
        <f>IF(ScopeOverride = 1, 1, tblDocuments[[#This Row],[Visible]] * --(((TRIM(SelScope &amp; "") = "") + (TRIM(SelScope &amp; "") = "All") + (tblDocuments[[#This Row],[Scope Group]] = TRIM(SelScope &amp; ""))) &gt; 0))</f>
        <v>1</v>
      </c>
      <c r="N28" s="14">
        <f>IF(tblDocuments[[#This Row],[In Scope]] * IF(TermCount = 0, 1, IF(BestHits &gt; 0, --(tblDocuments[[#This Row],[Hits]] = BestHits), 0)) = 1, tblDocuments[[#This Row],[Score]] * 2000000 + (2000000 - ROW()), -1)</f>
        <v>1999972</v>
      </c>
      <c r="O28" s="14" t="str">
        <f>IF(TRIM(tblDocuments[[#This Row],[Document Name]] &amp; "") = "", "(untitled document)", TRIM(tblDocuments[[#This Row],[Document Name]] &amp; "")) &amp; IF(LEFT(LOWER(TRIM(tblDocuments[[#This Row],[Document Link]] &amp; "")), 4) = "http", "", "   (no link)")</f>
        <v>Physical to Virtual Server Conversion Guide</v>
      </c>
      <c r="P28" t="str">
        <f>IF(LEFT(LOWER(TRIM(tblDocuments[[#This Row],[Document Link]] &amp; "")), 4) = "http", TRIM(tblDocuments[[#This Row],[Document Link]] &amp; ""), "")</f>
        <v>https://contoso.sharepoint.com/sites/AVSProgram/Shared%20Documents/Migration/Physical-to-Virtual-Server-Conversion-Guide.docx</v>
      </c>
    </row>
    <row r="29" spans="1:16" ht="28.5" x14ac:dyDescent="0.25">
      <c r="A29" s="11" t="s">
        <v>70</v>
      </c>
      <c r="B29" s="11" t="s">
        <v>89</v>
      </c>
      <c r="C29" s="11" t="s">
        <v>129</v>
      </c>
      <c r="D29" s="12" t="s">
        <v>130</v>
      </c>
      <c r="E29" s="13" t="s">
        <v>131</v>
      </c>
      <c r="F29" s="13" t="s">
        <v>132</v>
      </c>
      <c r="G29" s="14" t="str">
        <f>IF(TRIM(tblDocuments[[#This Row],[Scope]] &amp; "") = "", "(Unspecified)", TRIM(tblDocuments[[#This Row],[Scope]] &amp; ""))</f>
        <v>Migration</v>
      </c>
      <c r="H29" s="14">
        <f>SUBTOTAL(103, tblDocuments[[#This Row],[Scope Group]])</f>
        <v>1</v>
      </c>
      <c r="I2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checklist post migration validation checklist validation checklist executed after each workload lands in avs covering tools backup monitoring and performance validation post migration checklist vmware tools backup </v>
      </c>
      <c r="J2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post migration validation checklist validation post migration checklist vmware tools backup checklist migration </v>
      </c>
      <c r="K2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2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29" s="14">
        <f>IF(ScopeOverride = 1, 1, tblDocuments[[#This Row],[Visible]] * --(((TRIM(SelScope &amp; "") = "") + (TRIM(SelScope &amp; "") = "All") + (tblDocuments[[#This Row],[Scope Group]] = TRIM(SelScope &amp; ""))) &gt; 0))</f>
        <v>1</v>
      </c>
      <c r="N29" s="14">
        <f>IF(tblDocuments[[#This Row],[In Scope]] * IF(TermCount = 0, 1, IF(BestHits &gt; 0, --(tblDocuments[[#This Row],[Hits]] = BestHits), 0)) = 1, tblDocuments[[#This Row],[Score]] * 2000000 + (2000000 - ROW()), -1)</f>
        <v>1999971</v>
      </c>
      <c r="O29" s="14" t="str">
        <f>IF(TRIM(tblDocuments[[#This Row],[Document Name]] &amp; "") = "", "(untitled document)", TRIM(tblDocuments[[#This Row],[Document Name]] &amp; "")) &amp; IF(LEFT(LOWER(TRIM(tblDocuments[[#This Row],[Document Link]] &amp; "")), 4) = "http", "", "   (no link)")</f>
        <v>Post Migration Validation Checklist</v>
      </c>
      <c r="P29" t="str">
        <f>IF(LEFT(LOWER(TRIM(tblDocuments[[#This Row],[Document Link]] &amp; "")), 4) = "http", TRIM(tblDocuments[[#This Row],[Document Link]] &amp; ""), "")</f>
        <v>https://contoso.sharepoint.com/sites/AVSProgram/Shared%20Documents/Migration/Post-Migration-Validation-Checklist.xlsx</v>
      </c>
    </row>
    <row r="30" spans="1:16" ht="28.5" x14ac:dyDescent="0.25">
      <c r="A30" s="11" t="s">
        <v>133</v>
      </c>
      <c r="B30" s="11" t="s">
        <v>21</v>
      </c>
      <c r="C30" s="11" t="s">
        <v>134</v>
      </c>
      <c r="D30" s="12" t="s">
        <v>135</v>
      </c>
      <c r="E30" s="13" t="s">
        <v>136</v>
      </c>
      <c r="F30" s="13" t="s">
        <v>137</v>
      </c>
      <c r="G30" s="14" t="str">
        <f>IF(TRIM(tblDocuments[[#This Row],[Scope]] &amp; "") = "", "(Unspecified)", TRIM(tblDocuments[[#This Row],[Scope]] &amp; ""))</f>
        <v>Network</v>
      </c>
      <c r="H30" s="14">
        <f>SUBTOTAL(103, tblDocuments[[#This Row],[Scope Group]])</f>
        <v>1</v>
      </c>
      <c r="I3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lld nsx t network low level design low level design for the nsx t overlay including tier 0 and tier 1 gateway configuration segments and routing policy nsx t nsx tier 0 tier 1 overlay segment routing lld </v>
      </c>
      <c r="J3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nsx t network low level design nsx t nsx tier 0 tier 1 overlay segment routing lld lld network </v>
      </c>
      <c r="K3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3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30" s="14">
        <f>IF(ScopeOverride = 1, 1, tblDocuments[[#This Row],[Visible]] * --(((TRIM(SelScope &amp; "") = "") + (TRIM(SelScope &amp; "") = "All") + (tblDocuments[[#This Row],[Scope Group]] = TRIM(SelScope &amp; ""))) &gt; 0))</f>
        <v>1</v>
      </c>
      <c r="N30" s="14">
        <f>IF(tblDocuments[[#This Row],[In Scope]] * IF(TermCount = 0, 1, IF(BestHits &gt; 0, --(tblDocuments[[#This Row],[Hits]] = BestHits), 0)) = 1, tblDocuments[[#This Row],[Score]] * 2000000 + (2000000 - ROW()), -1)</f>
        <v>1999970</v>
      </c>
      <c r="O30" s="14" t="str">
        <f>IF(TRIM(tblDocuments[[#This Row],[Document Name]] &amp; "") = "", "(untitled document)", TRIM(tblDocuments[[#This Row],[Document Name]] &amp; "")) &amp; IF(LEFT(LOWER(TRIM(tblDocuments[[#This Row],[Document Link]] &amp; "")), 4) = "http", "", "   (no link)")</f>
        <v>NSX-T Network Low Level Design</v>
      </c>
      <c r="P30" t="str">
        <f>IF(LEFT(LOWER(TRIM(tblDocuments[[#This Row],[Document Link]] &amp; "")), 4) = "http", TRIM(tblDocuments[[#This Row],[Document Link]] &amp; ""), "")</f>
        <v>https://contoso.sharepoint.com/sites/AVSProgram/Shared%20Documents/Network/NSX-T-Network-Low-Level-Design.docx</v>
      </c>
    </row>
    <row r="31" spans="1:16" ht="28.5" x14ac:dyDescent="0.25">
      <c r="A31" s="11" t="s">
        <v>133</v>
      </c>
      <c r="B31" s="11" t="s">
        <v>51</v>
      </c>
      <c r="C31" s="11" t="s">
        <v>138</v>
      </c>
      <c r="D31" s="12" t="s">
        <v>139</v>
      </c>
      <c r="E31" s="13" t="s">
        <v>140</v>
      </c>
      <c r="F31" s="13" t="s">
        <v>141</v>
      </c>
      <c r="G31" s="14" t="str">
        <f>IF(TRIM(tblDocuments[[#This Row],[Scope]] &amp; "") = "", "(Unspecified)", TRIM(tblDocuments[[#This Row],[Scope]] &amp; ""))</f>
        <v>Network</v>
      </c>
      <c r="H31" s="14">
        <f>SUBTOTAL(103, tblDocuments[[#This Row],[Scope Group]])</f>
        <v>1</v>
      </c>
      <c r="I3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guide nsx t segment provisioning guide how to request provision and document a new nsx t overlay segment in the avs private cloud nsx t segment provisioning overlay vlan subnet </v>
      </c>
      <c r="J3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nsx t segment provisioning guide nsx t segment provisioning overlay vlan subnet guide network </v>
      </c>
      <c r="K3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3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31" s="14">
        <f>IF(ScopeOverride = 1, 1, tblDocuments[[#This Row],[Visible]] * --(((TRIM(SelScope &amp; "") = "") + (TRIM(SelScope &amp; "") = "All") + (tblDocuments[[#This Row],[Scope Group]] = TRIM(SelScope &amp; ""))) &gt; 0))</f>
        <v>1</v>
      </c>
      <c r="N31" s="14">
        <f>IF(tblDocuments[[#This Row],[In Scope]] * IF(TermCount = 0, 1, IF(BestHits &gt; 0, --(tblDocuments[[#This Row],[Hits]] = BestHits), 0)) = 1, tblDocuments[[#This Row],[Score]] * 2000000 + (2000000 - ROW()), -1)</f>
        <v>1999969</v>
      </c>
      <c r="O31" s="14" t="str">
        <f>IF(TRIM(tblDocuments[[#This Row],[Document Name]] &amp; "") = "", "(untitled document)", TRIM(tblDocuments[[#This Row],[Document Name]] &amp; "")) &amp; IF(LEFT(LOWER(TRIM(tblDocuments[[#This Row],[Document Link]] &amp; "")), 4) = "http", "", "   (no link)")</f>
        <v>NSX-T Segment Provisioning Guide</v>
      </c>
      <c r="P31" t="str">
        <f>IF(LEFT(LOWER(TRIM(tblDocuments[[#This Row],[Document Link]] &amp; "")), 4) = "http", TRIM(tblDocuments[[#This Row],[Document Link]] &amp; ""), "")</f>
        <v>https://contoso.sharepoint.com/sites/AVSProgram/Shared%20Documents/Network/NSX-T-Segment-Provisioning-Guide.docx</v>
      </c>
    </row>
    <row r="32" spans="1:16" ht="28.5" x14ac:dyDescent="0.25">
      <c r="A32" s="11" t="s">
        <v>133</v>
      </c>
      <c r="B32" s="11" t="s">
        <v>76</v>
      </c>
      <c r="C32" s="11" t="s">
        <v>142</v>
      </c>
      <c r="D32" s="12" t="s">
        <v>143</v>
      </c>
      <c r="E32" s="13" t="s">
        <v>144</v>
      </c>
      <c r="F32" s="13" t="s">
        <v>145</v>
      </c>
      <c r="G32" s="14" t="str">
        <f>IF(TRIM(tblDocuments[[#This Row],[Scope]] &amp; "") = "", "(Unspecified)", TRIM(tblDocuments[[#This Row],[Scope]] &amp; ""))</f>
        <v>Network</v>
      </c>
      <c r="H32" s="14">
        <f>SUBTOTAL(103, tblDocuments[[#This Row],[Scope Group]])</f>
        <v>1</v>
      </c>
      <c r="I3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runbook expressroute global reach configuration runbook runbook for establishing and validating expressroute global reach peering between on premises circuits and avs expressroute global reach peering circuit authorisation key runbook </v>
      </c>
      <c r="J3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expressroute global reach configuration runbook expressroute global reach peering circuit authorisation key runbook runbook network </v>
      </c>
      <c r="K3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3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32" s="14">
        <f>IF(ScopeOverride = 1, 1, tblDocuments[[#This Row],[Visible]] * --(((TRIM(SelScope &amp; "") = "") + (TRIM(SelScope &amp; "") = "All") + (tblDocuments[[#This Row],[Scope Group]] = TRIM(SelScope &amp; ""))) &gt; 0))</f>
        <v>1</v>
      </c>
      <c r="N32" s="14">
        <f>IF(tblDocuments[[#This Row],[In Scope]] * IF(TermCount = 0, 1, IF(BestHits &gt; 0, --(tblDocuments[[#This Row],[Hits]] = BestHits), 0)) = 1, tblDocuments[[#This Row],[Score]] * 2000000 + (2000000 - ROW()), -1)</f>
        <v>1999968</v>
      </c>
      <c r="O32" s="14" t="str">
        <f>IF(TRIM(tblDocuments[[#This Row],[Document Name]] &amp; "") = "", "(untitled document)", TRIM(tblDocuments[[#This Row],[Document Name]] &amp; "")) &amp; IF(LEFT(LOWER(TRIM(tblDocuments[[#This Row],[Document Link]] &amp; "")), 4) = "http", "", "   (no link)")</f>
        <v>ExpressRoute Global Reach Configuration Runbook</v>
      </c>
      <c r="P32" t="str">
        <f>IF(LEFT(LOWER(TRIM(tblDocuments[[#This Row],[Document Link]] &amp; "")), 4) = "http", TRIM(tblDocuments[[#This Row],[Document Link]] &amp; ""), "")</f>
        <v>https://contoso.sharepoint.com/sites/AVSProgram/Shared%20Documents/Network/ExpressRoute-Global-Reach-Configuration-Runbook.docx</v>
      </c>
    </row>
    <row r="33" spans="1:16" ht="28.5" x14ac:dyDescent="0.25">
      <c r="A33" s="11" t="s">
        <v>133</v>
      </c>
      <c r="B33" s="11" t="s">
        <v>26</v>
      </c>
      <c r="C33" s="11" t="s">
        <v>146</v>
      </c>
      <c r="D33" s="12" t="s">
        <v>147</v>
      </c>
      <c r="E33" s="13" t="s">
        <v>148</v>
      </c>
      <c r="F33" s="13" t="s">
        <v>149</v>
      </c>
      <c r="G33" s="14" t="str">
        <f>IF(TRIM(tblDocuments[[#This Row],[Scope]] &amp; "") = "", "(Unspecified)", TRIM(tblDocuments[[#This Row],[Scope]] &amp; ""))</f>
        <v>Network</v>
      </c>
      <c r="H33" s="14">
        <f>SUBTOTAL(103, tblDocuments[[#This Row],[Scope Group]])</f>
        <v>1</v>
      </c>
      <c r="I3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architecture avs network architecture and traffic flows network architecture describing north south and east west traffic flows inspection points and internet egress options network architecture traffic flow north south east west egress inspection </v>
      </c>
      <c r="J3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network architecture and traffic flows network architecture traffic flow north south east west egress inspection architecture network </v>
      </c>
      <c r="K3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3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33" s="14">
        <f>IF(ScopeOverride = 1, 1, tblDocuments[[#This Row],[Visible]] * --(((TRIM(SelScope &amp; "") = "") + (TRIM(SelScope &amp; "") = "All") + (tblDocuments[[#This Row],[Scope Group]] = TRIM(SelScope &amp; ""))) &gt; 0))</f>
        <v>1</v>
      </c>
      <c r="N33" s="14">
        <f>IF(tblDocuments[[#This Row],[In Scope]] * IF(TermCount = 0, 1, IF(BestHits &gt; 0, --(tblDocuments[[#This Row],[Hits]] = BestHits), 0)) = 1, tblDocuments[[#This Row],[Score]] * 2000000 + (2000000 - ROW()), -1)</f>
        <v>1999967</v>
      </c>
      <c r="O33" s="14" t="str">
        <f>IF(TRIM(tblDocuments[[#This Row],[Document Name]] &amp; "") = "", "(untitled document)", TRIM(tblDocuments[[#This Row],[Document Name]] &amp; "")) &amp; IF(LEFT(LOWER(TRIM(tblDocuments[[#This Row],[Document Link]] &amp; "")), 4) = "http", "", "   (no link)")</f>
        <v>AVS Network Architecture and Traffic Flows</v>
      </c>
      <c r="P33" t="str">
        <f>IF(LEFT(LOWER(TRIM(tblDocuments[[#This Row],[Document Link]] &amp; "")), 4) = "http", TRIM(tblDocuments[[#This Row],[Document Link]] &amp; ""), "")</f>
        <v>https://contoso.sharepoint.com/sites/AVSProgram/Shared%20Documents/Network/AVS-Network-Architecture-and-Traffic-Flows.pdf</v>
      </c>
    </row>
    <row r="34" spans="1:16" ht="28.5" x14ac:dyDescent="0.25">
      <c r="A34" s="11" t="s">
        <v>133</v>
      </c>
      <c r="B34" s="11" t="s">
        <v>51</v>
      </c>
      <c r="C34" s="11" t="s">
        <v>150</v>
      </c>
      <c r="D34" s="12" t="s">
        <v>151</v>
      </c>
      <c r="E34" s="13" t="s">
        <v>152</v>
      </c>
      <c r="F34" s="13" t="s">
        <v>153</v>
      </c>
      <c r="G34" s="14" t="str">
        <f>IF(TRIM(tblDocuments[[#This Row],[Scope]] &amp; "") = "", "(Unspecified)", TRIM(tblDocuments[[#This Row],[Scope]] &amp; ""))</f>
        <v>Network</v>
      </c>
      <c r="H34" s="14">
        <f>SUBTOTAL(103, tblDocuments[[#This Row],[Scope Group]])</f>
        <v>1</v>
      </c>
      <c r="I3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guide internet egress options for avs comparison of managed snat public ip down to nsx t edge and azure firewall egress designs with recommendations egress internet snat public ip azure firewall nat </v>
      </c>
      <c r="J3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internet egress options for avs egress internet snat public ip azure firewall nat guide network </v>
      </c>
      <c r="K34"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34"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34" s="14">
        <f>IF(ScopeOverride = 1, 1, tblDocuments[[#This Row],[Visible]] * --(((TRIM(SelScope &amp; "") = "") + (TRIM(SelScope &amp; "") = "All") + (tblDocuments[[#This Row],[Scope Group]] = TRIM(SelScope &amp; ""))) &gt; 0))</f>
        <v>1</v>
      </c>
      <c r="N34" s="14">
        <f>IF(tblDocuments[[#This Row],[In Scope]] * IF(TermCount = 0, 1, IF(BestHits &gt; 0, --(tblDocuments[[#This Row],[Hits]] = BestHits), 0)) = 1, tblDocuments[[#This Row],[Score]] * 2000000 + (2000000 - ROW()), -1)</f>
        <v>1999966</v>
      </c>
      <c r="O34" s="14" t="str">
        <f>IF(TRIM(tblDocuments[[#This Row],[Document Name]] &amp; "") = "", "(untitled document)", TRIM(tblDocuments[[#This Row],[Document Name]] &amp; "")) &amp; IF(LEFT(LOWER(TRIM(tblDocuments[[#This Row],[Document Link]] &amp; "")), 4) = "http", "", "   (no link)")</f>
        <v>Internet Egress Options for AVS</v>
      </c>
      <c r="P34" t="str">
        <f>IF(LEFT(LOWER(TRIM(tblDocuments[[#This Row],[Document Link]] &amp; "")), 4) = "http", TRIM(tblDocuments[[#This Row],[Document Link]] &amp; ""), "")</f>
        <v>https://contoso.sharepoint.com/sites/AVSProgram/Shared%20Documents/Network/Internet-Egress-Options-for-AVS.docx</v>
      </c>
    </row>
    <row r="35" spans="1:16" ht="28.5" x14ac:dyDescent="0.25">
      <c r="A35" s="11" t="s">
        <v>133</v>
      </c>
      <c r="B35" s="11" t="s">
        <v>21</v>
      </c>
      <c r="C35" s="11" t="s">
        <v>154</v>
      </c>
      <c r="D35" s="12" t="s">
        <v>155</v>
      </c>
      <c r="E35" s="13" t="s">
        <v>156</v>
      </c>
      <c r="F35" s="13" t="s">
        <v>157</v>
      </c>
      <c r="G35" s="14" t="str">
        <f>IF(TRIM(tblDocuments[[#This Row],[Scope]] &amp; "") = "", "(Unspecified)", TRIM(tblDocuments[[#This Row],[Scope]] &amp; ""))</f>
        <v>Network</v>
      </c>
      <c r="H35" s="14">
        <f>SUBTOTAL(103, tblDocuments[[#This Row],[Scope Group]])</f>
        <v>1</v>
      </c>
      <c r="I3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lld nsx t distributed firewall rule design design of the distributed firewall rule model security groups tagging strategy and default deny posture nsx t dfw distributed firewall micro segmentation tags security group </v>
      </c>
      <c r="J3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nsx t distributed firewall rule design nsx t dfw distributed firewall micro segmentation tags security group lld network </v>
      </c>
      <c r="K3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3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35" s="14">
        <f>IF(ScopeOverride = 1, 1, tblDocuments[[#This Row],[Visible]] * --(((TRIM(SelScope &amp; "") = "") + (TRIM(SelScope &amp; "") = "All") + (tblDocuments[[#This Row],[Scope Group]] = TRIM(SelScope &amp; ""))) &gt; 0))</f>
        <v>1</v>
      </c>
      <c r="N35" s="14">
        <f>IF(tblDocuments[[#This Row],[In Scope]] * IF(TermCount = 0, 1, IF(BestHits &gt; 0, --(tblDocuments[[#This Row],[Hits]] = BestHits), 0)) = 1, tblDocuments[[#This Row],[Score]] * 2000000 + (2000000 - ROW()), -1)</f>
        <v>1999965</v>
      </c>
      <c r="O35" s="14" t="str">
        <f>IF(TRIM(tblDocuments[[#This Row],[Document Name]] &amp; "") = "", "(untitled document)", TRIM(tblDocuments[[#This Row],[Document Name]] &amp; "")) &amp; IF(LEFT(LOWER(TRIM(tblDocuments[[#This Row],[Document Link]] &amp; "")), 4) = "http", "", "   (no link)")</f>
        <v>NSX-T Distributed Firewall Rule Design</v>
      </c>
      <c r="P35" t="str">
        <f>IF(LEFT(LOWER(TRIM(tblDocuments[[#This Row],[Document Link]] &amp; "")), 4) = "http", TRIM(tblDocuments[[#This Row],[Document Link]] &amp; ""), "")</f>
        <v>https://contoso.sharepoint.com/sites/AVSProgram/Shared%20Documents/Network/NSX-T-Distributed-Firewall-Rule-Design.docx</v>
      </c>
    </row>
    <row r="36" spans="1:16" ht="28.5" x14ac:dyDescent="0.25">
      <c r="A36" s="11" t="s">
        <v>133</v>
      </c>
      <c r="B36" s="11" t="s">
        <v>76</v>
      </c>
      <c r="C36" s="11" t="s">
        <v>158</v>
      </c>
      <c r="D36" s="12" t="s">
        <v>159</v>
      </c>
      <c r="E36" s="13" t="s">
        <v>160</v>
      </c>
      <c r="F36" s="13" t="s">
        <v>161</v>
      </c>
      <c r="G36" s="14" t="str">
        <f>IF(TRIM(tblDocuments[[#This Row],[Scope]] &amp; "") = "", "(Unspecified)", TRIM(tblDocuments[[#This Row],[Scope]] &amp; ""))</f>
        <v>Network</v>
      </c>
      <c r="H36" s="14">
        <f>SUBTOTAL(103, tblDocuments[[#This Row],[Scope Group]])</f>
        <v>1</v>
      </c>
      <c r="I3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runbook nsx t load balancer configuration runbook configuring nsx t virtual servers server pools monitors and persistence profiles for application load balancing nsx t load balancer virtual server pool monitor persistence </v>
      </c>
      <c r="J3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nsx t load balancer configuration runbook nsx t load balancer virtual server pool monitor persistence runbook network </v>
      </c>
      <c r="K3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3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36" s="14">
        <f>IF(ScopeOverride = 1, 1, tblDocuments[[#This Row],[Visible]] * --(((TRIM(SelScope &amp; "") = "") + (TRIM(SelScope &amp; "") = "All") + (tblDocuments[[#This Row],[Scope Group]] = TRIM(SelScope &amp; ""))) &gt; 0))</f>
        <v>1</v>
      </c>
      <c r="N36" s="14">
        <f>IF(tblDocuments[[#This Row],[In Scope]] * IF(TermCount = 0, 1, IF(BestHits &gt; 0, --(tblDocuments[[#This Row],[Hits]] = BestHits), 0)) = 1, tblDocuments[[#This Row],[Score]] * 2000000 + (2000000 - ROW()), -1)</f>
        <v>1999964</v>
      </c>
      <c r="O36" s="14" t="str">
        <f>IF(TRIM(tblDocuments[[#This Row],[Document Name]] &amp; "") = "", "(untitled document)", TRIM(tblDocuments[[#This Row],[Document Name]] &amp; "")) &amp; IF(LEFT(LOWER(TRIM(tblDocuments[[#This Row],[Document Link]] &amp; "")), 4) = "http", "", "   (no link)")</f>
        <v>NSX-T Load Balancer Configuration Runbook</v>
      </c>
      <c r="P36" t="str">
        <f>IF(LEFT(LOWER(TRIM(tblDocuments[[#This Row],[Document Link]] &amp; "")), 4) = "http", TRIM(tblDocuments[[#This Row],[Document Link]] &amp; ""), "")</f>
        <v>https://contoso.sharepoint.com/sites/AVSProgram/Shared%20Documents/Network/NSX-T-Load-Balancer-Configuration-Runbook.docx</v>
      </c>
    </row>
    <row r="37" spans="1:16" ht="28.5" x14ac:dyDescent="0.25">
      <c r="A37" s="11" t="s">
        <v>133</v>
      </c>
      <c r="B37" s="11" t="s">
        <v>107</v>
      </c>
      <c r="C37" s="11" t="s">
        <v>162</v>
      </c>
      <c r="D37" s="12" t="s">
        <v>163</v>
      </c>
      <c r="E37" s="13" t="s">
        <v>164</v>
      </c>
      <c r="F37" s="13" t="s">
        <v>165</v>
      </c>
      <c r="G37" s="14" t="str">
        <f>IF(TRIM(tblDocuments[[#This Row],[Scope]] &amp; "") = "", "(Unspecified)", TRIM(tblDocuments[[#This Row],[Scope]] &amp; ""))</f>
        <v>Network</v>
      </c>
      <c r="H37" s="14">
        <f>SUBTOTAL(103, tblDocuments[[#This Row],[Scope Group]])</f>
        <v>1</v>
      </c>
      <c r="I3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sop dns forwarder configuration standard standard for configuring the nsx t dns forwarder and conditional forwarding to corporate dns zones dns forwarder conditional forwarding resolution nsx t </v>
      </c>
      <c r="J3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dns forwarder configuration standard dns forwarder conditional forwarding resolution nsx t sop network </v>
      </c>
      <c r="K3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3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37" s="14">
        <f>IF(ScopeOverride = 1, 1, tblDocuments[[#This Row],[Visible]] * --(((TRIM(SelScope &amp; "") = "") + (TRIM(SelScope &amp; "") = "All") + (tblDocuments[[#This Row],[Scope Group]] = TRIM(SelScope &amp; ""))) &gt; 0))</f>
        <v>1</v>
      </c>
      <c r="N37" s="14">
        <f>IF(tblDocuments[[#This Row],[In Scope]] * IF(TermCount = 0, 1, IF(BestHits &gt; 0, --(tblDocuments[[#This Row],[Hits]] = BestHits), 0)) = 1, tblDocuments[[#This Row],[Score]] * 2000000 + (2000000 - ROW()), -1)</f>
        <v>1999963</v>
      </c>
      <c r="O37" s="14" t="str">
        <f>IF(TRIM(tblDocuments[[#This Row],[Document Name]] &amp; "") = "", "(untitled document)", TRIM(tblDocuments[[#This Row],[Document Name]] &amp; "")) &amp; IF(LEFT(LOWER(TRIM(tblDocuments[[#This Row],[Document Link]] &amp; "")), 4) = "http", "", "   (no link)")</f>
        <v>DNS Forwarder Configuration Standard</v>
      </c>
      <c r="P37" t="str">
        <f>IF(LEFT(LOWER(TRIM(tblDocuments[[#This Row],[Document Link]] &amp; "")), 4) = "http", TRIM(tblDocuments[[#This Row],[Document Link]] &amp; ""), "")</f>
        <v>https://contoso.sharepoint.com/sites/AVSProgram/Shared%20Documents/Network/DNS-Forwarder-Configuration-Standard.docx</v>
      </c>
    </row>
    <row r="38" spans="1:16" ht="28.5" x14ac:dyDescent="0.25">
      <c r="A38" s="11" t="s">
        <v>133</v>
      </c>
      <c r="B38" s="11" t="s">
        <v>31</v>
      </c>
      <c r="C38" s="11" t="s">
        <v>166</v>
      </c>
      <c r="D38" s="12" t="s">
        <v>167</v>
      </c>
      <c r="E38" s="13" t="s">
        <v>168</v>
      </c>
      <c r="F38" s="13" t="s">
        <v>169</v>
      </c>
      <c r="G38" s="14" t="str">
        <f>IF(TRIM(tblDocuments[[#This Row],[Scope]] &amp; "") = "", "(Unspecified)", TRIM(tblDocuments[[#This Row],[Scope]] &amp; ""))</f>
        <v>Network</v>
      </c>
      <c r="H38" s="14">
        <f>SUBTOTAL(103, tblDocuments[[#This Row],[Scope Group]])</f>
        <v>1</v>
      </c>
      <c r="I3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diagram avs connectivity diagram pack diagram pack covering physical circuits logical routing and the full avs connectivity topology diagram connectivity topology routing circuits </v>
      </c>
      <c r="J3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connectivity diagram pack diagram connectivity topology routing circuits diagram network </v>
      </c>
      <c r="K3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3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38" s="14">
        <f>IF(ScopeOverride = 1, 1, tblDocuments[[#This Row],[Visible]] * --(((TRIM(SelScope &amp; "") = "") + (TRIM(SelScope &amp; "") = "All") + (tblDocuments[[#This Row],[Scope Group]] = TRIM(SelScope &amp; ""))) &gt; 0))</f>
        <v>1</v>
      </c>
      <c r="N38" s="14">
        <f>IF(tblDocuments[[#This Row],[In Scope]] * IF(TermCount = 0, 1, IF(BestHits &gt; 0, --(tblDocuments[[#This Row],[Hits]] = BestHits), 0)) = 1, tblDocuments[[#This Row],[Score]] * 2000000 + (2000000 - ROW()), -1)</f>
        <v>1999962</v>
      </c>
      <c r="O38" s="14" t="str">
        <f>IF(TRIM(tblDocuments[[#This Row],[Document Name]] &amp; "") = "", "(untitled document)", TRIM(tblDocuments[[#This Row],[Document Name]] &amp; "")) &amp; IF(LEFT(LOWER(TRIM(tblDocuments[[#This Row],[Document Link]] &amp; "")), 4) = "http", "", "   (no link)")</f>
        <v>AVS Connectivity Diagram Pack</v>
      </c>
      <c r="P38" t="str">
        <f>IF(LEFT(LOWER(TRIM(tblDocuments[[#This Row],[Document Link]] &amp; "")), 4) = "http", TRIM(tblDocuments[[#This Row],[Document Link]] &amp; ""), "")</f>
        <v>https://contoso.sharepoint.com/sites/AVSProgram/Shared%20Documents/Network/AVS-Connectivity-Diagram-Pack.vsdx</v>
      </c>
    </row>
    <row r="39" spans="1:16" ht="28.5" x14ac:dyDescent="0.25">
      <c r="A39" s="11" t="s">
        <v>133</v>
      </c>
      <c r="B39" s="11" t="s">
        <v>51</v>
      </c>
      <c r="C39" s="11" t="s">
        <v>170</v>
      </c>
      <c r="D39" s="12" t="s">
        <v>171</v>
      </c>
      <c r="E39" s="13" t="s">
        <v>172</v>
      </c>
      <c r="F39" s="13" t="s">
        <v>173</v>
      </c>
      <c r="G39" s="14" t="str">
        <f>IF(TRIM(tblDocuments[[#This Row],[Scope]] &amp; "") = "", "(Unspecified)", TRIM(tblDocuments[[#This Row],[Scope]] &amp; ""))</f>
        <v>Network</v>
      </c>
      <c r="H39" s="14">
        <f>SUBTOTAL(103, tblDocuments[[#This Row],[Scope Group]])</f>
        <v>1</v>
      </c>
      <c r="I3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guide route advertisement and bgp troubleshooting troubleshooting guide for bgp route advertisement issues between avs expressroute and on premises routers bgp route advertisement troubleshooting expressroute prefix </v>
      </c>
      <c r="J3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route advertisement and bgp troubleshooting bgp route advertisement troubleshooting expressroute prefix guide network </v>
      </c>
      <c r="K3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3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39" s="14">
        <f>IF(ScopeOverride = 1, 1, tblDocuments[[#This Row],[Visible]] * --(((TRIM(SelScope &amp; "") = "") + (TRIM(SelScope &amp; "") = "All") + (tblDocuments[[#This Row],[Scope Group]] = TRIM(SelScope &amp; ""))) &gt; 0))</f>
        <v>1</v>
      </c>
      <c r="N39" s="14">
        <f>IF(tblDocuments[[#This Row],[In Scope]] * IF(TermCount = 0, 1, IF(BestHits &gt; 0, --(tblDocuments[[#This Row],[Hits]] = BestHits), 0)) = 1, tblDocuments[[#This Row],[Score]] * 2000000 + (2000000 - ROW()), -1)</f>
        <v>1999961</v>
      </c>
      <c r="O39" s="14" t="str">
        <f>IF(TRIM(tblDocuments[[#This Row],[Document Name]] &amp; "") = "", "(untitled document)", TRIM(tblDocuments[[#This Row],[Document Name]] &amp; "")) &amp; IF(LEFT(LOWER(TRIM(tblDocuments[[#This Row],[Document Link]] &amp; "")), 4) = "http", "", "   (no link)")</f>
        <v>Route Advertisement and BGP Troubleshooting</v>
      </c>
      <c r="P39" t="str">
        <f>IF(LEFT(LOWER(TRIM(tblDocuments[[#This Row],[Document Link]] &amp; "")), 4) = "http", TRIM(tblDocuments[[#This Row],[Document Link]] &amp; ""), "")</f>
        <v>https://contoso.sharepoint.com/sites/AVSProgram/Shared%20Documents/Network/Route-Advertisement-and-BGP-Troubleshooting.docx</v>
      </c>
    </row>
    <row r="40" spans="1:16" ht="28.5" x14ac:dyDescent="0.25">
      <c r="A40" s="11" t="s">
        <v>133</v>
      </c>
      <c r="B40" s="11" t="s">
        <v>174</v>
      </c>
      <c r="C40" s="11" t="s">
        <v>175</v>
      </c>
      <c r="D40" s="12" t="s">
        <v>176</v>
      </c>
      <c r="E40" s="13" t="s">
        <v>177</v>
      </c>
      <c r="F40" s="13" t="s">
        <v>178</v>
      </c>
      <c r="G40" s="14" t="str">
        <f>IF(TRIM(tblDocuments[[#This Row],[Scope]] &amp; "") = "", "(Unspecified)", TRIM(tblDocuments[[#This Row],[Scope]] &amp; ""))</f>
        <v>Network</v>
      </c>
      <c r="H40" s="14">
        <f>SUBTOTAL(103, tblDocuments[[#This Row],[Scope Group]])</f>
        <v>1</v>
      </c>
      <c r="I4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policy ip address management standard ipam standard defining cidr allocation reservation process and documentation requirements for avs networks ipam ip address cidr allocation subnet standard </v>
      </c>
      <c r="J4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ip address management standard ipam ip address cidr allocation subnet standard policy network </v>
      </c>
      <c r="K4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4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40" s="14">
        <f>IF(ScopeOverride = 1, 1, tblDocuments[[#This Row],[Visible]] * --(((TRIM(SelScope &amp; "") = "") + (TRIM(SelScope &amp; "") = "All") + (tblDocuments[[#This Row],[Scope Group]] = TRIM(SelScope &amp; ""))) &gt; 0))</f>
        <v>1</v>
      </c>
      <c r="N40" s="14">
        <f>IF(tblDocuments[[#This Row],[In Scope]] * IF(TermCount = 0, 1, IF(BestHits &gt; 0, --(tblDocuments[[#This Row],[Hits]] = BestHits), 0)) = 1, tblDocuments[[#This Row],[Score]] * 2000000 + (2000000 - ROW()), -1)</f>
        <v>1999960</v>
      </c>
      <c r="O40" s="14" t="str">
        <f>IF(TRIM(tblDocuments[[#This Row],[Document Name]] &amp; "") = "", "(untitled document)", TRIM(tblDocuments[[#This Row],[Document Name]] &amp; "")) &amp; IF(LEFT(LOWER(TRIM(tblDocuments[[#This Row],[Document Link]] &amp; "")), 4) = "http", "", "   (no link)")</f>
        <v>IP Address Management Standard</v>
      </c>
      <c r="P40" t="str">
        <f>IF(LEFT(LOWER(TRIM(tblDocuments[[#This Row],[Document Link]] &amp; "")), 4) = "http", TRIM(tblDocuments[[#This Row],[Document Link]] &amp; ""), "")</f>
        <v>https://contoso.sharepoint.com/sites/AVSProgram/Shared%20Documents/Network/IP-Address-Management-Standard.docx</v>
      </c>
    </row>
    <row r="41" spans="1:16" ht="28.5" x14ac:dyDescent="0.25">
      <c r="A41" s="11" t="s">
        <v>133</v>
      </c>
      <c r="B41" s="11" t="s">
        <v>76</v>
      </c>
      <c r="C41" s="11" t="s">
        <v>179</v>
      </c>
      <c r="D41" s="12" t="s">
        <v>180</v>
      </c>
      <c r="E41" s="13" t="s">
        <v>181</v>
      </c>
      <c r="F41" s="13" t="s">
        <v>182</v>
      </c>
      <c r="G41" s="14" t="str">
        <f>IF(TRIM(tblDocuments[[#This Row],[Scope]] &amp; "") = "", "(Unspecified)", TRIM(tblDocuments[[#This Row],[Scope]] &amp; ""))</f>
        <v>Network</v>
      </c>
      <c r="H41" s="14">
        <f>SUBTOTAL(103, tblDocuments[[#This Row],[Scope Group]])</f>
        <v>1</v>
      </c>
      <c r="I4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runbook network extension cutover runbook runbook for cutting over an hcx extended network to a native nsx t segment after workload migration completes network extension cutover hcx nsx t segment gateway </v>
      </c>
      <c r="J4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network extension cutover runbook network extension cutover hcx nsx t segment gateway runbook network </v>
      </c>
      <c r="K4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4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41" s="14">
        <f>IF(ScopeOverride = 1, 1, tblDocuments[[#This Row],[Visible]] * --(((TRIM(SelScope &amp; "") = "") + (TRIM(SelScope &amp; "") = "All") + (tblDocuments[[#This Row],[Scope Group]] = TRIM(SelScope &amp; ""))) &gt; 0))</f>
        <v>1</v>
      </c>
      <c r="N41" s="14">
        <f>IF(tblDocuments[[#This Row],[In Scope]] * IF(TermCount = 0, 1, IF(BestHits &gt; 0, --(tblDocuments[[#This Row],[Hits]] = BestHits), 0)) = 1, tblDocuments[[#This Row],[Score]] * 2000000 + (2000000 - ROW()), -1)</f>
        <v>1999959</v>
      </c>
      <c r="O41" s="14" t="str">
        <f>IF(TRIM(tblDocuments[[#This Row],[Document Name]] &amp; "") = "", "(untitled document)", TRIM(tblDocuments[[#This Row],[Document Name]] &amp; "")) &amp; IF(LEFT(LOWER(TRIM(tblDocuments[[#This Row],[Document Link]] &amp; "")), 4) = "http", "", "   (no link)")</f>
        <v>Network Extension Cutover Runbook</v>
      </c>
      <c r="P41" t="str">
        <f>IF(LEFT(LOWER(TRIM(tblDocuments[[#This Row],[Document Link]] &amp; "")), 4) = "http", TRIM(tblDocuments[[#This Row],[Document Link]] &amp; ""), "")</f>
        <v>https://contoso.sharepoint.com/sites/AVSProgram/Shared%20Documents/Network/Network-Extension-Cutover-Runbook.docx</v>
      </c>
    </row>
    <row r="42" spans="1:16" ht="28.5" x14ac:dyDescent="0.25">
      <c r="A42" s="11" t="s">
        <v>133</v>
      </c>
      <c r="B42" s="11" t="s">
        <v>51</v>
      </c>
      <c r="C42" s="11" t="s">
        <v>183</v>
      </c>
      <c r="D42" s="12" t="s">
        <v>184</v>
      </c>
      <c r="E42" s="13" t="s">
        <v>185</v>
      </c>
      <c r="F42" s="13" t="s">
        <v>186</v>
      </c>
      <c r="G42" s="14" t="str">
        <f>IF(TRIM(tblDocuments[[#This Row],[Scope]] &amp; "") = "", "(Unspecified)", TRIM(tblDocuments[[#This Row],[Scope]] &amp; ""))</f>
        <v>Network</v>
      </c>
      <c r="H42" s="14">
        <f>SUBTOTAL(103, tblDocuments[[#This Row],[Scope Group]])</f>
        <v>1</v>
      </c>
      <c r="I4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guide public ip and nat configuration guide guide to requesting public ip addresses and configuring dnat snat rules on the nsx t tier 1 gateway public ip nat dnat snat tier 1 gateway </v>
      </c>
      <c r="J4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public ip and nat configuration guide public ip nat dnat snat tier 1 gateway guide network </v>
      </c>
      <c r="K4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4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42" s="14">
        <f>IF(ScopeOverride = 1, 1, tblDocuments[[#This Row],[Visible]] * --(((TRIM(SelScope &amp; "") = "") + (TRIM(SelScope &amp; "") = "All") + (tblDocuments[[#This Row],[Scope Group]] = TRIM(SelScope &amp; ""))) &gt; 0))</f>
        <v>1</v>
      </c>
      <c r="N42" s="14">
        <f>IF(tblDocuments[[#This Row],[In Scope]] * IF(TermCount = 0, 1, IF(BestHits &gt; 0, --(tblDocuments[[#This Row],[Hits]] = BestHits), 0)) = 1, tblDocuments[[#This Row],[Score]] * 2000000 + (2000000 - ROW()), -1)</f>
        <v>1999958</v>
      </c>
      <c r="O42" s="14" t="str">
        <f>IF(TRIM(tblDocuments[[#This Row],[Document Name]] &amp; "") = "", "(untitled document)", TRIM(tblDocuments[[#This Row],[Document Name]] &amp; "")) &amp; IF(LEFT(LOWER(TRIM(tblDocuments[[#This Row],[Document Link]] &amp; "")), 4) = "http", "", "   (no link)")</f>
        <v>Public IP and NAT Configuration Guide</v>
      </c>
      <c r="P42" t="str">
        <f>IF(LEFT(LOWER(TRIM(tblDocuments[[#This Row],[Document Link]] &amp; "")), 4) = "http", TRIM(tblDocuments[[#This Row],[Document Link]] &amp; ""), "")</f>
        <v>https://contoso.sharepoint.com/sites/AVSProgram/Shared%20Documents/Network/Public-IP-and-NAT-Configuration-Guide.docx</v>
      </c>
    </row>
    <row r="43" spans="1:16" ht="28.5" x14ac:dyDescent="0.25">
      <c r="A43" s="11" t="s">
        <v>133</v>
      </c>
      <c r="B43" s="11" t="s">
        <v>65</v>
      </c>
      <c r="C43" s="11" t="s">
        <v>187</v>
      </c>
      <c r="D43" s="12" t="s">
        <v>188</v>
      </c>
      <c r="E43" s="13" t="s">
        <v>189</v>
      </c>
      <c r="F43" s="13" t="s">
        <v>190</v>
      </c>
      <c r="G43" s="14" t="str">
        <f>IF(TRIM(tblDocuments[[#This Row],[Scope]] &amp; "") = "", "(Unspecified)", TRIM(tblDocuments[[#This Row],[Scope]] &amp; ""))</f>
        <v>Network</v>
      </c>
      <c r="H43" s="14">
        <f>SUBTOTAL(103, tblDocuments[[#This Row],[Scope Group]])</f>
        <v>1</v>
      </c>
      <c r="I4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report network performance baseline report baseline latency and throughput measurements between avs azure native services and the on premises estate performance baseline latency throughput network report </v>
      </c>
      <c r="J4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network performance baseline report performance baseline latency throughput network report report network </v>
      </c>
      <c r="K4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4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43" s="14">
        <f>IF(ScopeOverride = 1, 1, tblDocuments[[#This Row],[Visible]] * --(((TRIM(SelScope &amp; "") = "") + (TRIM(SelScope &amp; "") = "All") + (tblDocuments[[#This Row],[Scope Group]] = TRIM(SelScope &amp; ""))) &gt; 0))</f>
        <v>1</v>
      </c>
      <c r="N43" s="14">
        <f>IF(tblDocuments[[#This Row],[In Scope]] * IF(TermCount = 0, 1, IF(BestHits &gt; 0, --(tblDocuments[[#This Row],[Hits]] = BestHits), 0)) = 1, tblDocuments[[#This Row],[Score]] * 2000000 + (2000000 - ROW()), -1)</f>
        <v>1999957</v>
      </c>
      <c r="O43" s="14" t="str">
        <f>IF(TRIM(tblDocuments[[#This Row],[Document Name]] &amp; "") = "", "(untitled document)", TRIM(tblDocuments[[#This Row],[Document Name]] &amp; "")) &amp; IF(LEFT(LOWER(TRIM(tblDocuments[[#This Row],[Document Link]] &amp; "")), 4) = "http", "", "   (no link)")</f>
        <v>Network Performance Baseline Report</v>
      </c>
      <c r="P43" t="str">
        <f>IF(LEFT(LOWER(TRIM(tblDocuments[[#This Row],[Document Link]] &amp; "")), 4) = "http", TRIM(tblDocuments[[#This Row],[Document Link]] &amp; ""), "")</f>
        <v>https://contoso.sharepoint.com/sites/AVSProgram/Shared%20Documents/Network/Network-Performance-Baseline-Report.pdf</v>
      </c>
    </row>
    <row r="44" spans="1:16" ht="28.5" x14ac:dyDescent="0.25">
      <c r="A44" s="11" t="s">
        <v>191</v>
      </c>
      <c r="B44" s="11" t="s">
        <v>26</v>
      </c>
      <c r="C44" s="11" t="s">
        <v>192</v>
      </c>
      <c r="D44" s="12" t="s">
        <v>193</v>
      </c>
      <c r="E44" s="13" t="s">
        <v>194</v>
      </c>
      <c r="F44" s="13" t="s">
        <v>195</v>
      </c>
      <c r="G44" s="14" t="str">
        <f>IF(TRIM(tblDocuments[[#This Row],[Scope]] &amp; "") = "", "(Unspecified)", TRIM(tblDocuments[[#This Row],[Scope]] &amp; ""))</f>
        <v>Security</v>
      </c>
      <c r="H44" s="14">
        <f>SUBTOTAL(103, tblDocuments[[#This Row],[Scope Group]])</f>
        <v>1</v>
      </c>
      <c r="I4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architecture avs security architecture security architecture for the avs platform covering identity network segmentation encryption and logging security architecture segmentation encryption logging defence in depth </v>
      </c>
      <c r="J4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security architecture security architecture segmentation encryption logging defence in depth architecture security </v>
      </c>
      <c r="K44"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44"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44" s="14">
        <f>IF(ScopeOverride = 1, 1, tblDocuments[[#This Row],[Visible]] * --(((TRIM(SelScope &amp; "") = "") + (TRIM(SelScope &amp; "") = "All") + (tblDocuments[[#This Row],[Scope Group]] = TRIM(SelScope &amp; ""))) &gt; 0))</f>
        <v>1</v>
      </c>
      <c r="N44" s="14">
        <f>IF(tblDocuments[[#This Row],[In Scope]] * IF(TermCount = 0, 1, IF(BestHits &gt; 0, --(tblDocuments[[#This Row],[Hits]] = BestHits), 0)) = 1, tblDocuments[[#This Row],[Score]] * 2000000 + (2000000 - ROW()), -1)</f>
        <v>1999956</v>
      </c>
      <c r="O44" s="14" t="str">
        <f>IF(TRIM(tblDocuments[[#This Row],[Document Name]] &amp; "") = "", "(untitled document)", TRIM(tblDocuments[[#This Row],[Document Name]] &amp; "")) &amp; IF(LEFT(LOWER(TRIM(tblDocuments[[#This Row],[Document Link]] &amp; "")), 4) = "http", "", "   (no link)")</f>
        <v>AVS Security Architecture</v>
      </c>
      <c r="P44" t="str">
        <f>IF(LEFT(LOWER(TRIM(tblDocuments[[#This Row],[Document Link]] &amp; "")), 4) = "http", TRIM(tblDocuments[[#This Row],[Document Link]] &amp; ""), "")</f>
        <v>https://contoso.sharepoint.com/sites/AVSProgram/Shared%20Documents/Security/AVS-Security-Architecture.docx</v>
      </c>
    </row>
    <row r="45" spans="1:16" ht="28.5" x14ac:dyDescent="0.25">
      <c r="A45" s="11" t="s">
        <v>191</v>
      </c>
      <c r="B45" s="11" t="s">
        <v>174</v>
      </c>
      <c r="C45" s="11" t="s">
        <v>196</v>
      </c>
      <c r="D45" s="12" t="s">
        <v>197</v>
      </c>
      <c r="E45" s="13" t="s">
        <v>198</v>
      </c>
      <c r="F45" s="13" t="s">
        <v>199</v>
      </c>
      <c r="G45" s="14" t="str">
        <f>IF(TRIM(tblDocuments[[#This Row],[Scope]] &amp; "") = "", "(Unspecified)", TRIM(tblDocuments[[#This Row],[Scope]] &amp; ""))</f>
        <v>Security</v>
      </c>
      <c r="H45" s="14">
        <f>SUBTOTAL(103, tblDocuments[[#This Row],[Scope Group]])</f>
        <v>1</v>
      </c>
      <c r="I4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policy avs security baseline policy mandatory security baseline for avs private clouds vcenter nsx t and workload virtual machines baseline policy hardening mandatory compliance </v>
      </c>
      <c r="J4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security baseline policy baseline policy hardening mandatory compliance policy security </v>
      </c>
      <c r="K4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4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45" s="14">
        <f>IF(ScopeOverride = 1, 1, tblDocuments[[#This Row],[Visible]] * --(((TRIM(SelScope &amp; "") = "") + (TRIM(SelScope &amp; "") = "All") + (tblDocuments[[#This Row],[Scope Group]] = TRIM(SelScope &amp; ""))) &gt; 0))</f>
        <v>1</v>
      </c>
      <c r="N45" s="14">
        <f>IF(tblDocuments[[#This Row],[In Scope]] * IF(TermCount = 0, 1, IF(BestHits &gt; 0, --(tblDocuments[[#This Row],[Hits]] = BestHits), 0)) = 1, tblDocuments[[#This Row],[Score]] * 2000000 + (2000000 - ROW()), -1)</f>
        <v>1999955</v>
      </c>
      <c r="O45" s="14" t="str">
        <f>IF(TRIM(tblDocuments[[#This Row],[Document Name]] &amp; "") = "", "(untitled document)", TRIM(tblDocuments[[#This Row],[Document Name]] &amp; "")) &amp; IF(LEFT(LOWER(TRIM(tblDocuments[[#This Row],[Document Link]] &amp; "")), 4) = "http", "", "   (no link)")</f>
        <v>AVS Security Baseline Policy</v>
      </c>
      <c r="P45" t="str">
        <f>IF(LEFT(LOWER(TRIM(tblDocuments[[#This Row],[Document Link]] &amp; "")), 4) = "http", TRIM(tblDocuments[[#This Row],[Document Link]] &amp; ""), "")</f>
        <v>https://contoso.sharepoint.com/sites/AVSProgram/Shared%20Documents/Security/AVS-Security-Baseline-Policy.docx</v>
      </c>
    </row>
    <row r="46" spans="1:16" ht="28.5" x14ac:dyDescent="0.25">
      <c r="A46" s="11" t="s">
        <v>191</v>
      </c>
      <c r="B46" s="11" t="s">
        <v>51</v>
      </c>
      <c r="C46" s="11" t="s">
        <v>200</v>
      </c>
      <c r="D46" s="12" t="s">
        <v>201</v>
      </c>
      <c r="E46" s="13" t="s">
        <v>202</v>
      </c>
      <c r="F46" s="13" t="s">
        <v>203</v>
      </c>
      <c r="G46" s="14" t="str">
        <f>IF(TRIM(tblDocuments[[#This Row],[Scope]] &amp; "") = "", "(Unspecified)", TRIM(tblDocuments[[#This Row],[Scope]] &amp; ""))</f>
        <v>Security</v>
      </c>
      <c r="H46" s="14">
        <f>SUBTOTAL(103, tblDocuments[[#This Row],[Scope Group]])</f>
        <v>1</v>
      </c>
      <c r="I4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guide micro segmentation implementation guide implementation guide for micro segmentation using nsx t distributed firewall and security tags micro segmentation nsx t dfw tags zero trust east west </v>
      </c>
      <c r="J4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micro segmentation implementation guide micro segmentation nsx t dfw tags zero trust east west guide security </v>
      </c>
      <c r="K4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4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46" s="14">
        <f>IF(ScopeOverride = 1, 1, tblDocuments[[#This Row],[Visible]] * --(((TRIM(SelScope &amp; "") = "") + (TRIM(SelScope &amp; "") = "All") + (tblDocuments[[#This Row],[Scope Group]] = TRIM(SelScope &amp; ""))) &gt; 0))</f>
        <v>1</v>
      </c>
      <c r="N46" s="14">
        <f>IF(tblDocuments[[#This Row],[In Scope]] * IF(TermCount = 0, 1, IF(BestHits &gt; 0, --(tblDocuments[[#This Row],[Hits]] = BestHits), 0)) = 1, tblDocuments[[#This Row],[Score]] * 2000000 + (2000000 - ROW()), -1)</f>
        <v>1999954</v>
      </c>
      <c r="O46" s="14" t="str">
        <f>IF(TRIM(tblDocuments[[#This Row],[Document Name]] &amp; "") = "", "(untitled document)", TRIM(tblDocuments[[#This Row],[Document Name]] &amp; "")) &amp; IF(LEFT(LOWER(TRIM(tblDocuments[[#This Row],[Document Link]] &amp; "")), 4) = "http", "", "   (no link)")</f>
        <v>Micro Segmentation Implementation Guide</v>
      </c>
      <c r="P46" t="str">
        <f>IF(LEFT(LOWER(TRIM(tblDocuments[[#This Row],[Document Link]] &amp; "")), 4) = "http", TRIM(tblDocuments[[#This Row],[Document Link]] &amp; ""), "")</f>
        <v>https://contoso.sharepoint.com/sites/AVSProgram/Shared%20Documents/Security/Micro-Segmentation-Implementation-Guide.docx</v>
      </c>
    </row>
    <row r="47" spans="1:16" ht="28.5" x14ac:dyDescent="0.25">
      <c r="A47" s="11" t="s">
        <v>191</v>
      </c>
      <c r="B47" s="11" t="s">
        <v>89</v>
      </c>
      <c r="C47" s="11" t="s">
        <v>204</v>
      </c>
      <c r="D47" s="12" t="s">
        <v>205</v>
      </c>
      <c r="E47" s="13" t="s">
        <v>206</v>
      </c>
      <c r="F47" s="13" t="s">
        <v>207</v>
      </c>
      <c r="G47" s="14" t="str">
        <f>IF(TRIM(tblDocuments[[#This Row],[Scope]] &amp; "") = "", "(Unspecified)", TRIM(tblDocuments[[#This Row],[Scope]] &amp; ""))</f>
        <v>Security</v>
      </c>
      <c r="H47" s="14">
        <f>SUBTOTAL(103, tblDocuments[[#This Row],[Scope Group]])</f>
        <v>1</v>
      </c>
      <c r="I4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checklist vcenter hardening checklist hardening checklist for vcenter server aligned to the vmware security configuration guide vcenter hardening checklist cis configuration guide </v>
      </c>
      <c r="J4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vcenter hardening checklist vcenter hardening checklist cis configuration guide checklist security </v>
      </c>
      <c r="K4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4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47" s="14">
        <f>IF(ScopeOverride = 1, 1, tblDocuments[[#This Row],[Visible]] * --(((TRIM(SelScope &amp; "") = "") + (TRIM(SelScope &amp; "") = "All") + (tblDocuments[[#This Row],[Scope Group]] = TRIM(SelScope &amp; ""))) &gt; 0))</f>
        <v>1</v>
      </c>
      <c r="N47" s="14">
        <f>IF(tblDocuments[[#This Row],[In Scope]] * IF(TermCount = 0, 1, IF(BestHits &gt; 0, --(tblDocuments[[#This Row],[Hits]] = BestHits), 0)) = 1, tblDocuments[[#This Row],[Score]] * 2000000 + (2000000 - ROW()), -1)</f>
        <v>1999953</v>
      </c>
      <c r="O47" s="14" t="str">
        <f>IF(TRIM(tblDocuments[[#This Row],[Document Name]] &amp; "") = "", "(untitled document)", TRIM(tblDocuments[[#This Row],[Document Name]] &amp; "")) &amp; IF(LEFT(LOWER(TRIM(tblDocuments[[#This Row],[Document Link]] &amp; "")), 4) = "http", "", "   (no link)")</f>
        <v>vCenter Hardening Checklist</v>
      </c>
      <c r="P47" t="str">
        <f>IF(LEFT(LOWER(TRIM(tblDocuments[[#This Row],[Document Link]] &amp; "")), 4) = "http", TRIM(tblDocuments[[#This Row],[Document Link]] &amp; ""), "")</f>
        <v>https://contoso.sharepoint.com/sites/AVSProgram/Shared%20Documents/Security/vCenter-Hardening-Checklist.xlsx</v>
      </c>
    </row>
    <row r="48" spans="1:16" ht="28.5" x14ac:dyDescent="0.25">
      <c r="A48" s="11" t="s">
        <v>191</v>
      </c>
      <c r="B48" s="11" t="s">
        <v>107</v>
      </c>
      <c r="C48" s="11" t="s">
        <v>208</v>
      </c>
      <c r="D48" s="12" t="s">
        <v>209</v>
      </c>
      <c r="E48" s="13" t="s">
        <v>210</v>
      </c>
      <c r="F48" s="13" t="s">
        <v>211</v>
      </c>
      <c r="G48" s="14" t="str">
        <f>IF(TRIM(tblDocuments[[#This Row],[Scope]] &amp; "") = "", "(Unspecified)", TRIM(tblDocuments[[#This Row],[Scope]] &amp; ""))</f>
        <v>Security</v>
      </c>
      <c r="H48" s="14">
        <f>SUBTOTAL(103, tblDocuments[[#This Row],[Scope Group]])</f>
        <v>1</v>
      </c>
      <c r="I4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sop security incident response procedure for avs procedure for triaging containing and reporting security incidents affecting the avs estate incident response ir containment triage soc escalation </v>
      </c>
      <c r="J4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security incident response procedure for avs incident response ir containment triage soc escalation sop security </v>
      </c>
      <c r="K4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4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48" s="14">
        <f>IF(ScopeOverride = 1, 1, tblDocuments[[#This Row],[Visible]] * --(((TRIM(SelScope &amp; "") = "") + (TRIM(SelScope &amp; "") = "All") + (tblDocuments[[#This Row],[Scope Group]] = TRIM(SelScope &amp; ""))) &gt; 0))</f>
        <v>1</v>
      </c>
      <c r="N48" s="14">
        <f>IF(tblDocuments[[#This Row],[In Scope]] * IF(TermCount = 0, 1, IF(BestHits &gt; 0, --(tblDocuments[[#This Row],[Hits]] = BestHits), 0)) = 1, tblDocuments[[#This Row],[Score]] * 2000000 + (2000000 - ROW()), -1)</f>
        <v>1999952</v>
      </c>
      <c r="O48" s="14" t="str">
        <f>IF(TRIM(tblDocuments[[#This Row],[Document Name]] &amp; "") = "", "(untitled document)", TRIM(tblDocuments[[#This Row],[Document Name]] &amp; "")) &amp; IF(LEFT(LOWER(TRIM(tblDocuments[[#This Row],[Document Link]] &amp; "")), 4) = "http", "", "   (no link)")</f>
        <v>Security Incident Response Procedure for AVS</v>
      </c>
      <c r="P48" t="str">
        <f>IF(LEFT(LOWER(TRIM(tblDocuments[[#This Row],[Document Link]] &amp; "")), 4) = "http", TRIM(tblDocuments[[#This Row],[Document Link]] &amp; ""), "")</f>
        <v>https://contoso.sharepoint.com/sites/AVSProgram/Shared%20Documents/Security/Security-Incident-Response-Procedure-for-AVS.docx</v>
      </c>
    </row>
    <row r="49" spans="1:16" ht="28.5" x14ac:dyDescent="0.25">
      <c r="A49" s="11" t="s">
        <v>191</v>
      </c>
      <c r="B49" s="11" t="s">
        <v>51</v>
      </c>
      <c r="C49" s="11" t="s">
        <v>212</v>
      </c>
      <c r="D49" s="12" t="s">
        <v>213</v>
      </c>
      <c r="E49" s="13" t="s">
        <v>214</v>
      </c>
      <c r="F49" s="13" t="s">
        <v>215</v>
      </c>
      <c r="G49" s="14" t="str">
        <f>IF(TRIM(tblDocuments[[#This Row],[Scope]] &amp; "") = "", "(Unspecified)", TRIM(tblDocuments[[#This Row],[Scope]] &amp; ""))</f>
        <v>Security</v>
      </c>
      <c r="H49" s="14">
        <f>SUBTOTAL(103, tblDocuments[[#This Row],[Scope Group]])</f>
        <v>1</v>
      </c>
      <c r="I4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guide customer managed keys and encryption guide guide to enabling customer managed keys with azure key vault for vsan datastore encryption cmk encryption key vault vsan key rotation at rest </v>
      </c>
      <c r="J4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customer managed keys and encryption guide cmk encryption key vault vsan key rotation at rest guide security </v>
      </c>
      <c r="K4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4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49" s="14">
        <f>IF(ScopeOverride = 1, 1, tblDocuments[[#This Row],[Visible]] * --(((TRIM(SelScope &amp; "") = "") + (TRIM(SelScope &amp; "") = "All") + (tblDocuments[[#This Row],[Scope Group]] = TRIM(SelScope &amp; ""))) &gt; 0))</f>
        <v>1</v>
      </c>
      <c r="N49" s="14">
        <f>IF(tblDocuments[[#This Row],[In Scope]] * IF(TermCount = 0, 1, IF(BestHits &gt; 0, --(tblDocuments[[#This Row],[Hits]] = BestHits), 0)) = 1, tblDocuments[[#This Row],[Score]] * 2000000 + (2000000 - ROW()), -1)</f>
        <v>1999951</v>
      </c>
      <c r="O49" s="14" t="str">
        <f>IF(TRIM(tblDocuments[[#This Row],[Document Name]] &amp; "") = "", "(untitled document)", TRIM(tblDocuments[[#This Row],[Document Name]] &amp; "")) &amp; IF(LEFT(LOWER(TRIM(tblDocuments[[#This Row],[Document Link]] &amp; "")), 4) = "http", "", "   (no link)")</f>
        <v>Customer Managed Keys and Encryption Guide</v>
      </c>
      <c r="P49" t="str">
        <f>IF(LEFT(LOWER(TRIM(tblDocuments[[#This Row],[Document Link]] &amp; "")), 4) = "http", TRIM(tblDocuments[[#This Row],[Document Link]] &amp; ""), "")</f>
        <v>https://contoso.sharepoint.com/sites/AVSProgram/Shared%20Documents/Security/Customer-Managed-Keys-and-Encryption-Guide.docx</v>
      </c>
    </row>
    <row r="50" spans="1:16" ht="28.5" x14ac:dyDescent="0.25">
      <c r="A50" s="11" t="s">
        <v>191</v>
      </c>
      <c r="B50" s="11" t="s">
        <v>65</v>
      </c>
      <c r="C50" s="11" t="s">
        <v>216</v>
      </c>
      <c r="D50" s="12" t="s">
        <v>217</v>
      </c>
      <c r="E50" s="13" t="s">
        <v>218</v>
      </c>
      <c r="F50" s="13" t="s">
        <v>219</v>
      </c>
      <c r="G50" s="14" t="str">
        <f>IF(TRIM(tblDocuments[[#This Row],[Scope]] &amp; "") = "", "(Unspecified)", TRIM(tblDocuments[[#This Row],[Scope]] &amp; ""))</f>
        <v>Security</v>
      </c>
      <c r="H50" s="14">
        <f>SUBTOTAL(103, tblDocuments[[#This Row],[Scope Group]])</f>
        <v>1</v>
      </c>
      <c r="I5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report avs penetration test summary executive summary and remediation tracker from the annual penetration test of the avs platform penetration test pentest remediation findings vulnerability </v>
      </c>
      <c r="J5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penetration test summary penetration test pentest remediation findings vulnerability report security </v>
      </c>
      <c r="K5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0" s="14">
        <f>IF(ScopeOverride = 1, 1, tblDocuments[[#This Row],[Visible]] * --(((TRIM(SelScope &amp; "") = "") + (TRIM(SelScope &amp; "") = "All") + (tblDocuments[[#This Row],[Scope Group]] = TRIM(SelScope &amp; ""))) &gt; 0))</f>
        <v>1</v>
      </c>
      <c r="N50" s="14">
        <f>IF(tblDocuments[[#This Row],[In Scope]] * IF(TermCount = 0, 1, IF(BestHits &gt; 0, --(tblDocuments[[#This Row],[Hits]] = BestHits), 0)) = 1, tblDocuments[[#This Row],[Score]] * 2000000 + (2000000 - ROW()), -1)</f>
        <v>1999950</v>
      </c>
      <c r="O50" s="14" t="str">
        <f>IF(TRIM(tblDocuments[[#This Row],[Document Name]] &amp; "") = "", "(untitled document)", TRIM(tblDocuments[[#This Row],[Document Name]] &amp; "")) &amp; IF(LEFT(LOWER(TRIM(tblDocuments[[#This Row],[Document Link]] &amp; "")), 4) = "http", "", "   (no link)")</f>
        <v>AVS Penetration Test Summary</v>
      </c>
      <c r="P50" t="str">
        <f>IF(LEFT(LOWER(TRIM(tblDocuments[[#This Row],[Document Link]] &amp; "")), 4) = "http", TRIM(tblDocuments[[#This Row],[Document Link]] &amp; ""), "")</f>
        <v>https://contoso.sharepoint.com/sites/AVSProgram/Shared%20Documents/Security/AVS-Penetration-Test-Summary.pdf</v>
      </c>
    </row>
    <row r="51" spans="1:16" ht="28.5" x14ac:dyDescent="0.25">
      <c r="A51" s="11" t="s">
        <v>191</v>
      </c>
      <c r="B51" s="11" t="s">
        <v>174</v>
      </c>
      <c r="C51" s="11" t="s">
        <v>220</v>
      </c>
      <c r="D51" s="12" t="s">
        <v>221</v>
      </c>
      <c r="E51" s="13" t="s">
        <v>222</v>
      </c>
      <c r="F51" s="13" t="s">
        <v>223</v>
      </c>
      <c r="G51" s="14" t="str">
        <f>IF(TRIM(tblDocuments[[#This Row],[Scope]] &amp; "") = "", "(Unspecified)", TRIM(tblDocuments[[#This Row],[Scope]] &amp; ""))</f>
        <v>Security</v>
      </c>
      <c r="H51" s="14">
        <f>SUBTOTAL(103, tblDocuments[[#This Row],[Scope Group]])</f>
        <v>1</v>
      </c>
      <c r="I5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policy privileged access management policy policy governing privileged access to vcenter nsx t and the avs control plane including break glass accounts pam privileged access break glass pim least privilege </v>
      </c>
      <c r="J5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privileged access management policy pam privileged access break glass pim least privilege policy security </v>
      </c>
      <c r="K5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1" s="14">
        <f>IF(ScopeOverride = 1, 1, tblDocuments[[#This Row],[Visible]] * --(((TRIM(SelScope &amp; "") = "") + (TRIM(SelScope &amp; "") = "All") + (tblDocuments[[#This Row],[Scope Group]] = TRIM(SelScope &amp; ""))) &gt; 0))</f>
        <v>1</v>
      </c>
      <c r="N51" s="14">
        <f>IF(tblDocuments[[#This Row],[In Scope]] * IF(TermCount = 0, 1, IF(BestHits &gt; 0, --(tblDocuments[[#This Row],[Hits]] = BestHits), 0)) = 1, tblDocuments[[#This Row],[Score]] * 2000000 + (2000000 - ROW()), -1)</f>
        <v>1999949</v>
      </c>
      <c r="O51" s="14" t="str">
        <f>IF(TRIM(tblDocuments[[#This Row],[Document Name]] &amp; "") = "", "(untitled document)", TRIM(tblDocuments[[#This Row],[Document Name]] &amp; "")) &amp; IF(LEFT(LOWER(TRIM(tblDocuments[[#This Row],[Document Link]] &amp; "")), 4) = "http", "", "   (no link)")</f>
        <v>Privileged Access Management Policy</v>
      </c>
      <c r="P51" t="str">
        <f>IF(LEFT(LOWER(TRIM(tblDocuments[[#This Row],[Document Link]] &amp; "")), 4) = "http", TRIM(tblDocuments[[#This Row],[Document Link]] &amp; ""), "")</f>
        <v>https://contoso.sharepoint.com/sites/AVSProgram/Shared%20Documents/Security/Privileged-Access-Management-Policy.docx</v>
      </c>
    </row>
    <row r="52" spans="1:16" ht="28.5" x14ac:dyDescent="0.25">
      <c r="A52" s="11" t="s">
        <v>191</v>
      </c>
      <c r="B52" s="11" t="s">
        <v>51</v>
      </c>
      <c r="C52" s="11" t="s">
        <v>224</v>
      </c>
      <c r="D52" s="12" t="s">
        <v>225</v>
      </c>
      <c r="E52" s="13" t="s">
        <v>226</v>
      </c>
      <c r="F52" s="13" t="s">
        <v>227</v>
      </c>
      <c r="G52" s="14" t="str">
        <f>IF(TRIM(tblDocuments[[#This Row],[Scope]] &amp; "") = "", "(Unspecified)", TRIM(tblDocuments[[#This Row],[Scope]] &amp; ""))</f>
        <v>Security</v>
      </c>
      <c r="H52" s="14">
        <f>SUBTOTAL(103, tblDocuments[[#This Row],[Scope Group]])</f>
        <v>1</v>
      </c>
      <c r="I5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guide log forwarding to microsoft sentinel configuring diagnostic settings and syslog forwarding from avs vcenter and nsx t into microsoft sentinel sentinel siem syslog logging diagnostic settings forwarding </v>
      </c>
      <c r="J5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log forwarding to microsoft sentinel sentinel siem syslog logging diagnostic settings forwarding guide security </v>
      </c>
      <c r="K5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2" s="14">
        <f>IF(ScopeOverride = 1, 1, tblDocuments[[#This Row],[Visible]] * --(((TRIM(SelScope &amp; "") = "") + (TRIM(SelScope &amp; "") = "All") + (tblDocuments[[#This Row],[Scope Group]] = TRIM(SelScope &amp; ""))) &gt; 0))</f>
        <v>1</v>
      </c>
      <c r="N52" s="14">
        <f>IF(tblDocuments[[#This Row],[In Scope]] * IF(TermCount = 0, 1, IF(BestHits &gt; 0, --(tblDocuments[[#This Row],[Hits]] = BestHits), 0)) = 1, tblDocuments[[#This Row],[Score]] * 2000000 + (2000000 - ROW()), -1)</f>
        <v>1999948</v>
      </c>
      <c r="O52" s="14" t="str">
        <f>IF(TRIM(tblDocuments[[#This Row],[Document Name]] &amp; "") = "", "(untitled document)", TRIM(tblDocuments[[#This Row],[Document Name]] &amp; "")) &amp; IF(LEFT(LOWER(TRIM(tblDocuments[[#This Row],[Document Link]] &amp; "")), 4) = "http", "", "   (no link)")</f>
        <v>Log Forwarding to Microsoft Sentinel</v>
      </c>
      <c r="P52" t="str">
        <f>IF(LEFT(LOWER(TRIM(tblDocuments[[#This Row],[Document Link]] &amp; "")), 4) = "http", TRIM(tblDocuments[[#This Row],[Document Link]] &amp; ""), "")</f>
        <v>https://contoso.sharepoint.com/sites/AVSProgram/Shared%20Documents/Security/Log-Forwarding-to-Microsoft-Sentinel.docx</v>
      </c>
    </row>
    <row r="53" spans="1:16" x14ac:dyDescent="0.25">
      <c r="A53" s="11" t="s">
        <v>191</v>
      </c>
      <c r="B53" s="11" t="s">
        <v>41</v>
      </c>
      <c r="C53" s="11" t="s">
        <v>228</v>
      </c>
      <c r="D53" s="12" t="s">
        <v>229</v>
      </c>
      <c r="E53" s="13" t="s">
        <v>230</v>
      </c>
      <c r="F53" s="13" t="s">
        <v>231</v>
      </c>
      <c r="G53" s="14" t="str">
        <f>IF(TRIM(tblDocuments[[#This Row],[Scope]] &amp; "") = "", "(Unspecified)", TRIM(tblDocuments[[#This Row],[Scope]] &amp; ""))</f>
        <v>Security</v>
      </c>
      <c r="H53" s="14">
        <f>SUBTOTAL(103, tblDocuments[[#This Row],[Scope Group]])</f>
        <v>1</v>
      </c>
      <c r="I5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assessment third party security risk assessment risk assessment covering third party tooling deployed inside the avs private clouds risk third party assessment supply chain tooling </v>
      </c>
      <c r="J5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third party security risk assessment risk third party assessment supply chain tooling assessment security </v>
      </c>
      <c r="K5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3" s="14">
        <f>IF(ScopeOverride = 1, 1, tblDocuments[[#This Row],[Visible]] * --(((TRIM(SelScope &amp; "") = "") + (TRIM(SelScope &amp; "") = "All") + (tblDocuments[[#This Row],[Scope Group]] = TRIM(SelScope &amp; ""))) &gt; 0))</f>
        <v>1</v>
      </c>
      <c r="N53" s="14">
        <f>IF(tblDocuments[[#This Row],[In Scope]] * IF(TermCount = 0, 1, IF(BestHits &gt; 0, --(tblDocuments[[#This Row],[Hits]] = BestHits), 0)) = 1, tblDocuments[[#This Row],[Score]] * 2000000 + (2000000 - ROW()), -1)</f>
        <v>1999947</v>
      </c>
      <c r="O53" s="14" t="str">
        <f>IF(TRIM(tblDocuments[[#This Row],[Document Name]] &amp; "") = "", "(untitled document)", TRIM(tblDocuments[[#This Row],[Document Name]] &amp; "")) &amp; IF(LEFT(LOWER(TRIM(tblDocuments[[#This Row],[Document Link]] &amp; "")), 4) = "http", "", "   (no link)")</f>
        <v>Third Party Security Risk Assessment</v>
      </c>
      <c r="P53" t="str">
        <f>IF(LEFT(LOWER(TRIM(tblDocuments[[#This Row],[Document Link]] &amp; "")), 4) = "http", TRIM(tblDocuments[[#This Row],[Document Link]] &amp; ""), "")</f>
        <v>https://contoso.sharepoint.com/sites/AVSProgram/Shared%20Documents/Security/Third-Party-Security-Risk-Assessment.docx</v>
      </c>
    </row>
    <row r="54" spans="1:16" ht="28.5" x14ac:dyDescent="0.25">
      <c r="A54" s="11" t="s">
        <v>191</v>
      </c>
      <c r="B54" s="11" t="s">
        <v>51</v>
      </c>
      <c r="C54" s="11" t="s">
        <v>232</v>
      </c>
      <c r="D54" s="12" t="s">
        <v>233</v>
      </c>
      <c r="E54" s="13" t="s">
        <v>234</v>
      </c>
      <c r="F54" s="13" t="s">
        <v>235</v>
      </c>
      <c r="G54" s="14" t="str">
        <f>IF(TRIM(tblDocuments[[#This Row],[Scope]] &amp; "") = "", "(Unspecified)", TRIM(tblDocuments[[#This Row],[Scope]] &amp; ""))</f>
        <v>Security</v>
      </c>
      <c r="H54" s="14">
        <f>SUBTOTAL(103, tblDocuments[[#This Row],[Scope Group]])</f>
        <v>1</v>
      </c>
      <c r="I5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guide antivirus and edr deployment for avs workloads deployment approach for endpoint detection and response agents on virtual machines hosted in avs edr antivirus defender endpoint agent malware </v>
      </c>
      <c r="J5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antivirus and edr deployment for avs workloads edr antivirus defender endpoint agent malware guide security </v>
      </c>
      <c r="K54"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4"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4" s="14">
        <f>IF(ScopeOverride = 1, 1, tblDocuments[[#This Row],[Visible]] * --(((TRIM(SelScope &amp; "") = "") + (TRIM(SelScope &amp; "") = "All") + (tblDocuments[[#This Row],[Scope Group]] = TRIM(SelScope &amp; ""))) &gt; 0))</f>
        <v>1</v>
      </c>
      <c r="N54" s="14">
        <f>IF(tblDocuments[[#This Row],[In Scope]] * IF(TermCount = 0, 1, IF(BestHits &gt; 0, --(tblDocuments[[#This Row],[Hits]] = BestHits), 0)) = 1, tblDocuments[[#This Row],[Score]] * 2000000 + (2000000 - ROW()), -1)</f>
        <v>1999946</v>
      </c>
      <c r="O54" s="14" t="str">
        <f>IF(TRIM(tblDocuments[[#This Row],[Document Name]] &amp; "") = "", "(untitled document)", TRIM(tblDocuments[[#This Row],[Document Name]] &amp; "")) &amp; IF(LEFT(LOWER(TRIM(tblDocuments[[#This Row],[Document Link]] &amp; "")), 4) = "http", "", "   (no link)")</f>
        <v>Antivirus and EDR Deployment for AVS Workloads</v>
      </c>
      <c r="P54" t="str">
        <f>IF(LEFT(LOWER(TRIM(tblDocuments[[#This Row],[Document Link]] &amp; "")), 4) = "http", TRIM(tblDocuments[[#This Row],[Document Link]] &amp; ""), "")</f>
        <v>https://contoso.sharepoint.com/sites/AVSProgram/Shared%20Documents/Security/Antivirus-and-EDR-Deployment-for-AVS-Workloads.docx</v>
      </c>
    </row>
    <row r="55" spans="1:16" ht="28.5" x14ac:dyDescent="0.25">
      <c r="A55" s="11" t="s">
        <v>236</v>
      </c>
      <c r="B55" s="11" t="s">
        <v>76</v>
      </c>
      <c r="C55" s="11" t="s">
        <v>237</v>
      </c>
      <c r="D55" s="12" t="s">
        <v>238</v>
      </c>
      <c r="E55" s="13" t="s">
        <v>239</v>
      </c>
      <c r="F55" s="13" t="s">
        <v>240</v>
      </c>
      <c r="G55" s="14" t="str">
        <f>IF(TRIM(tblDocuments[[#This Row],[Scope]] &amp; "") = "", "(Unspecified)", TRIM(tblDocuments[[#This Row],[Scope]] &amp; ""))</f>
        <v>Operations</v>
      </c>
      <c r="H55" s="14">
        <f>SUBTOTAL(103, tblDocuments[[#This Row],[Scope Group]])</f>
        <v>1</v>
      </c>
      <c r="I5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runbook avs daily operations runbook daily operational checks for the avs platform including health capacity alerts and backup status daily checks operations runbook health alerts bau </v>
      </c>
      <c r="J5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daily operations runbook daily checks operations runbook health alerts bau runbook operations </v>
      </c>
      <c r="K5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5" s="14">
        <f>IF(ScopeOverride = 1, 1, tblDocuments[[#This Row],[Visible]] * --(((TRIM(SelScope &amp; "") = "") + (TRIM(SelScope &amp; "") = "All") + (tblDocuments[[#This Row],[Scope Group]] = TRIM(SelScope &amp; ""))) &gt; 0))</f>
        <v>1</v>
      </c>
      <c r="N55" s="14">
        <f>IF(tblDocuments[[#This Row],[In Scope]] * IF(TermCount = 0, 1, IF(BestHits &gt; 0, --(tblDocuments[[#This Row],[Hits]] = BestHits), 0)) = 1, tblDocuments[[#This Row],[Score]] * 2000000 + (2000000 - ROW()), -1)</f>
        <v>1999945</v>
      </c>
      <c r="O55" s="14" t="str">
        <f>IF(TRIM(tblDocuments[[#This Row],[Document Name]] &amp; "") = "", "(untitled document)", TRIM(tblDocuments[[#This Row],[Document Name]] &amp; "")) &amp; IF(LEFT(LOWER(TRIM(tblDocuments[[#This Row],[Document Link]] &amp; "")), 4) = "http", "", "   (no link)")</f>
        <v>AVS Daily Operations Runbook</v>
      </c>
      <c r="P55" t="str">
        <f>IF(LEFT(LOWER(TRIM(tblDocuments[[#This Row],[Document Link]] &amp; "")), 4) = "http", TRIM(tblDocuments[[#This Row],[Document Link]] &amp; ""), "")</f>
        <v>https://contoso.sharepoint.com/sites/AVSProgram/Shared%20Documents/Operations/AVS-Daily-Operations-Runbook.docx</v>
      </c>
    </row>
    <row r="56" spans="1:16" ht="28.5" x14ac:dyDescent="0.25">
      <c r="A56" s="11" t="s">
        <v>236</v>
      </c>
      <c r="B56" s="11" t="s">
        <v>107</v>
      </c>
      <c r="C56" s="11" t="s">
        <v>241</v>
      </c>
      <c r="D56" s="12" t="s">
        <v>242</v>
      </c>
      <c r="E56" s="13" t="s">
        <v>243</v>
      </c>
      <c r="F56" s="13" t="s">
        <v>244</v>
      </c>
      <c r="G56" s="14" t="str">
        <f>IF(TRIM(tblDocuments[[#This Row],[Scope]] &amp; "") = "", "(Unspecified)", TRIM(tblDocuments[[#This Row],[Scope]] &amp; ""))</f>
        <v>Operations</v>
      </c>
      <c r="H56" s="14">
        <f>SUBTOTAL(103, tblDocuments[[#This Row],[Scope Group]])</f>
        <v>1</v>
      </c>
      <c r="I5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sop host replacement and node addition sop standard operating procedure for adding replacing or removing an esxi host node from an avs cluster host node scale out replacement remediation esxi </v>
      </c>
      <c r="J5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host replacement and node addition sop host node scale out replacement remediation esxi sop operations </v>
      </c>
      <c r="K5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6" s="14">
        <f>IF(ScopeOverride = 1, 1, tblDocuments[[#This Row],[Visible]] * --(((TRIM(SelScope &amp; "") = "") + (TRIM(SelScope &amp; "") = "All") + (tblDocuments[[#This Row],[Scope Group]] = TRIM(SelScope &amp; ""))) &gt; 0))</f>
        <v>1</v>
      </c>
      <c r="N56" s="14">
        <f>IF(tblDocuments[[#This Row],[In Scope]] * IF(TermCount = 0, 1, IF(BestHits &gt; 0, --(tblDocuments[[#This Row],[Hits]] = BestHits), 0)) = 1, tblDocuments[[#This Row],[Score]] * 2000000 + (2000000 - ROW()), -1)</f>
        <v>1999944</v>
      </c>
      <c r="O56" s="14" t="str">
        <f>IF(TRIM(tblDocuments[[#This Row],[Document Name]] &amp; "") = "", "(untitled document)", TRIM(tblDocuments[[#This Row],[Document Name]] &amp; "")) &amp; IF(LEFT(LOWER(TRIM(tblDocuments[[#This Row],[Document Link]] &amp; "")), 4) = "http", "", "   (no link)")</f>
        <v>Host Replacement and Node Addition SOP</v>
      </c>
      <c r="P56" t="str">
        <f>IF(LEFT(LOWER(TRIM(tblDocuments[[#This Row],[Document Link]] &amp; "")), 4) = "http", TRIM(tblDocuments[[#This Row],[Document Link]] &amp; ""), "")</f>
        <v>https://contoso.sharepoint.com/sites/AVSProgram/Shared%20Documents/Operations/Host-Replacement-and-Node-Addition-SOP.docx</v>
      </c>
    </row>
    <row r="57" spans="1:16" ht="28.5" x14ac:dyDescent="0.25">
      <c r="A57" s="11" t="s">
        <v>236</v>
      </c>
      <c r="B57" s="11" t="s">
        <v>51</v>
      </c>
      <c r="C57" s="11" t="s">
        <v>245</v>
      </c>
      <c r="D57" s="12" t="s">
        <v>246</v>
      </c>
      <c r="E57" s="13" t="s">
        <v>247</v>
      </c>
      <c r="F57" s="13" t="s">
        <v>248</v>
      </c>
      <c r="G57" s="14" t="str">
        <f>IF(TRIM(tblDocuments[[#This Row],[Scope]] &amp; "") = "", "(Unspecified)", TRIM(tblDocuments[[#This Row],[Scope]] &amp; ""))</f>
        <v>Operations</v>
      </c>
      <c r="H57" s="14">
        <f>SUBTOTAL(103, tblDocuments[[#This Row],[Scope Group]])</f>
        <v>1</v>
      </c>
      <c r="I5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guide avs private cloud upgrade and maintenance guide how microsoft managed platform upgrades work maintenance windows notification handling and customer responsibilities upgrade maintenance patching sddc notification window </v>
      </c>
      <c r="J5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private cloud upgrade and maintenance guide upgrade maintenance patching sddc notification window guide operations </v>
      </c>
      <c r="K5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7" s="14">
        <f>IF(ScopeOverride = 1, 1, tblDocuments[[#This Row],[Visible]] * --(((TRIM(SelScope &amp; "") = "") + (TRIM(SelScope &amp; "") = "All") + (tblDocuments[[#This Row],[Scope Group]] = TRIM(SelScope &amp; ""))) &gt; 0))</f>
        <v>1</v>
      </c>
      <c r="N57" s="14">
        <f>IF(tblDocuments[[#This Row],[In Scope]] * IF(TermCount = 0, 1, IF(BestHits &gt; 0, --(tblDocuments[[#This Row],[Hits]] = BestHits), 0)) = 1, tblDocuments[[#This Row],[Score]] * 2000000 + (2000000 - ROW()), -1)</f>
        <v>1999943</v>
      </c>
      <c r="O57" s="14" t="str">
        <f>IF(TRIM(tblDocuments[[#This Row],[Document Name]] &amp; "") = "", "(untitled document)", TRIM(tblDocuments[[#This Row],[Document Name]] &amp; "")) &amp; IF(LEFT(LOWER(TRIM(tblDocuments[[#This Row],[Document Link]] &amp; "")), 4) = "http", "", "   (no link)")</f>
        <v>AVS Private Cloud Upgrade and Maintenance Guide</v>
      </c>
      <c r="P57" t="str">
        <f>IF(LEFT(LOWER(TRIM(tblDocuments[[#This Row],[Document Link]] &amp; "")), 4) = "http", TRIM(tblDocuments[[#This Row],[Document Link]] &amp; ""), "")</f>
        <v>https://contoso.sharepoint.com/sites/AVSProgram/Shared%20Documents/Operations/AVS-Private-Cloud-Upgrade-and-Maintenance-Guide.docx</v>
      </c>
    </row>
    <row r="58" spans="1:16" ht="28.5" x14ac:dyDescent="0.25">
      <c r="A58" s="11" t="s">
        <v>236</v>
      </c>
      <c r="B58" s="11" t="s">
        <v>76</v>
      </c>
      <c r="C58" s="11" t="s">
        <v>249</v>
      </c>
      <c r="D58" s="12" t="s">
        <v>250</v>
      </c>
      <c r="E58" s="13" t="s">
        <v>251</v>
      </c>
      <c r="F58" s="13" t="s">
        <v>252</v>
      </c>
      <c r="G58" s="14" t="str">
        <f>IF(TRIM(tblDocuments[[#This Row],[Scope]] &amp; "") = "", "(Unspecified)", TRIM(tblDocuments[[#This Row],[Scope]] &amp; ""))</f>
        <v>Operations</v>
      </c>
      <c r="H58" s="14">
        <f>SUBTOTAL(103, tblDocuments[[#This Row],[Scope Group]])</f>
        <v>1</v>
      </c>
      <c r="I5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runbook capacity expansion runbook runbook for requesting quota adding nodes and rebalancing workloads when a cluster approaches capacity thresholds capacity expansion quota scale rebalance slack </v>
      </c>
      <c r="J5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capacity expansion runbook capacity expansion quota scale rebalance slack runbook operations </v>
      </c>
      <c r="K5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8" s="14">
        <f>IF(ScopeOverride = 1, 1, tblDocuments[[#This Row],[Visible]] * --(((TRIM(SelScope &amp; "") = "") + (TRIM(SelScope &amp; "") = "All") + (tblDocuments[[#This Row],[Scope Group]] = TRIM(SelScope &amp; ""))) &gt; 0))</f>
        <v>1</v>
      </c>
      <c r="N58" s="14">
        <f>IF(tblDocuments[[#This Row],[In Scope]] * IF(TermCount = 0, 1, IF(BestHits &gt; 0, --(tblDocuments[[#This Row],[Hits]] = BestHits), 0)) = 1, tblDocuments[[#This Row],[Score]] * 2000000 + (2000000 - ROW()), -1)</f>
        <v>1999942</v>
      </c>
      <c r="O58" s="14" t="str">
        <f>IF(TRIM(tblDocuments[[#This Row],[Document Name]] &amp; "") = "", "(untitled document)", TRIM(tblDocuments[[#This Row],[Document Name]] &amp; "")) &amp; IF(LEFT(LOWER(TRIM(tblDocuments[[#This Row],[Document Link]] &amp; "")), 4) = "http", "", "   (no link)")</f>
        <v>Capacity Expansion Runbook</v>
      </c>
      <c r="P58" t="str">
        <f>IF(LEFT(LOWER(TRIM(tblDocuments[[#This Row],[Document Link]] &amp; "")), 4) = "http", TRIM(tblDocuments[[#This Row],[Document Link]] &amp; ""), "")</f>
        <v>https://contoso.sharepoint.com/sites/AVSProgram/Shared%20Documents/Operations/Capacity-Expansion-Runbook.docx</v>
      </c>
    </row>
    <row r="59" spans="1:16" ht="28.5" x14ac:dyDescent="0.25">
      <c r="A59" s="11" t="s">
        <v>236</v>
      </c>
      <c r="B59" s="11" t="s">
        <v>107</v>
      </c>
      <c r="C59" s="11" t="s">
        <v>253</v>
      </c>
      <c r="D59" s="12" t="s">
        <v>254</v>
      </c>
      <c r="E59" s="13" t="s">
        <v>255</v>
      </c>
      <c r="F59" s="13" t="s">
        <v>256</v>
      </c>
      <c r="G59" s="14" t="str">
        <f>IF(TRIM(tblDocuments[[#This Row],[Scope]] &amp; "") = "", "(Unspecified)", TRIM(tblDocuments[[#This Row],[Scope]] &amp; ""))</f>
        <v>Operations</v>
      </c>
      <c r="H59" s="14">
        <f>SUBTOTAL(103, tblDocuments[[#This Row],[Scope Group]])</f>
        <v>1</v>
      </c>
      <c r="I5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sop change management process for avs change management process cab requirements and change categories applicable to the avs platform change management cab rfc approval process </v>
      </c>
      <c r="J5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change management process for avs change management cab rfc approval process sop operations </v>
      </c>
      <c r="K5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5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59" s="14">
        <f>IF(ScopeOverride = 1, 1, tblDocuments[[#This Row],[Visible]] * --(((TRIM(SelScope &amp; "") = "") + (TRIM(SelScope &amp; "") = "All") + (tblDocuments[[#This Row],[Scope Group]] = TRIM(SelScope &amp; ""))) &gt; 0))</f>
        <v>1</v>
      </c>
      <c r="N59" s="14">
        <f>IF(tblDocuments[[#This Row],[In Scope]] * IF(TermCount = 0, 1, IF(BestHits &gt; 0, --(tblDocuments[[#This Row],[Hits]] = BestHits), 0)) = 1, tblDocuments[[#This Row],[Score]] * 2000000 + (2000000 - ROW()), -1)</f>
        <v>1999941</v>
      </c>
      <c r="O59" s="14" t="str">
        <f>IF(TRIM(tblDocuments[[#This Row],[Document Name]] &amp; "") = "", "(untitled document)", TRIM(tblDocuments[[#This Row],[Document Name]] &amp; "")) &amp; IF(LEFT(LOWER(TRIM(tblDocuments[[#This Row],[Document Link]] &amp; "")), 4) = "http", "", "   (no link)")</f>
        <v>Change Management Process for AVS</v>
      </c>
      <c r="P59" t="str">
        <f>IF(LEFT(LOWER(TRIM(tblDocuments[[#This Row],[Document Link]] &amp; "")), 4) = "http", TRIM(tblDocuments[[#This Row],[Document Link]] &amp; ""), "")</f>
        <v>https://contoso.sharepoint.com/sites/AVSProgram/Shared%20Documents/Operations/Change-Management-Process-for-AVS.docx</v>
      </c>
    </row>
    <row r="60" spans="1:16" ht="28.5" x14ac:dyDescent="0.25">
      <c r="A60" s="11" t="s">
        <v>236</v>
      </c>
      <c r="B60" s="11" t="s">
        <v>51</v>
      </c>
      <c r="C60" s="11" t="s">
        <v>257</v>
      </c>
      <c r="D60" s="12" t="s">
        <v>258</v>
      </c>
      <c r="E60" s="13" t="s">
        <v>259</v>
      </c>
      <c r="F60" s="13" t="s">
        <v>260</v>
      </c>
      <c r="G60" s="14" t="str">
        <f>IF(TRIM(tblDocuments[[#This Row],[Scope]] &amp; "") = "", "(Unspecified)", TRIM(tblDocuments[[#This Row],[Scope]] &amp; ""))</f>
        <v>Operations</v>
      </c>
      <c r="H60" s="14">
        <f>SUBTOTAL(103, tblDocuments[[#This Row],[Scope Group]])</f>
        <v>1</v>
      </c>
      <c r="I6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guide monitoring and alerting design monitoring design covering azure monitor vrealize operations metrics alert thresholds and routing to the service desk monitoring alerting azure monitor vrops thresholds service desk </v>
      </c>
      <c r="J6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monitoring and alerting design monitoring alerting azure monitor vrops thresholds service desk guide operations </v>
      </c>
      <c r="K6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0" s="14">
        <f>IF(ScopeOverride = 1, 1, tblDocuments[[#This Row],[Visible]] * --(((TRIM(SelScope &amp; "") = "") + (TRIM(SelScope &amp; "") = "All") + (tblDocuments[[#This Row],[Scope Group]] = TRIM(SelScope &amp; ""))) &gt; 0))</f>
        <v>1</v>
      </c>
      <c r="N60" s="14">
        <f>IF(tblDocuments[[#This Row],[In Scope]] * IF(TermCount = 0, 1, IF(BestHits &gt; 0, --(tblDocuments[[#This Row],[Hits]] = BestHits), 0)) = 1, tblDocuments[[#This Row],[Score]] * 2000000 + (2000000 - ROW()), -1)</f>
        <v>1999940</v>
      </c>
      <c r="O60" s="14" t="str">
        <f>IF(TRIM(tblDocuments[[#This Row],[Document Name]] &amp; "") = "", "(untitled document)", TRIM(tblDocuments[[#This Row],[Document Name]] &amp; "")) &amp; IF(LEFT(LOWER(TRIM(tblDocuments[[#This Row],[Document Link]] &amp; "")), 4) = "http", "", "   (no link)")</f>
        <v>Monitoring and Alerting Design</v>
      </c>
      <c r="P60" t="str">
        <f>IF(LEFT(LOWER(TRIM(tblDocuments[[#This Row],[Document Link]] &amp; "")), 4) = "http", TRIM(tblDocuments[[#This Row],[Document Link]] &amp; ""), "")</f>
        <v>https://contoso.sharepoint.com/sites/AVSProgram/Shared%20Documents/Operations/Monitoring-and-Alerting-Design.docx</v>
      </c>
    </row>
    <row r="61" spans="1:16" ht="28.5" x14ac:dyDescent="0.25">
      <c r="A61" s="11" t="s">
        <v>236</v>
      </c>
      <c r="B61" s="11" t="s">
        <v>76</v>
      </c>
      <c r="C61" s="11" t="s">
        <v>261</v>
      </c>
      <c r="D61" s="12" t="s">
        <v>262</v>
      </c>
      <c r="E61" s="13" t="s">
        <v>263</v>
      </c>
      <c r="F61" s="13" t="s">
        <v>264</v>
      </c>
      <c r="G61" s="14" t="str">
        <f>IF(TRIM(tblDocuments[[#This Row],[Scope]] &amp; "") = "", "(Unspecified)", TRIM(tblDocuments[[#This Row],[Scope]] &amp; ""))</f>
        <v>Operations</v>
      </c>
      <c r="H61" s="14">
        <f>SUBTOTAL(103, tblDocuments[[#This Row],[Scope Group]])</f>
        <v>1</v>
      </c>
      <c r="I6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runbook support request and escalation runbook how to raise a microsoft support request for avs severity definitions and the internal escalation path support escalation severity ticket microsoft sla </v>
      </c>
      <c r="J6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support request and escalation runbook support escalation severity ticket microsoft sla runbook operations </v>
      </c>
      <c r="K6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1" s="14">
        <f>IF(ScopeOverride = 1, 1, tblDocuments[[#This Row],[Visible]] * --(((TRIM(SelScope &amp; "") = "") + (TRIM(SelScope &amp; "") = "All") + (tblDocuments[[#This Row],[Scope Group]] = TRIM(SelScope &amp; ""))) &gt; 0))</f>
        <v>1</v>
      </c>
      <c r="N61" s="14">
        <f>IF(tblDocuments[[#This Row],[In Scope]] * IF(TermCount = 0, 1, IF(BestHits &gt; 0, --(tblDocuments[[#This Row],[Hits]] = BestHits), 0)) = 1, tblDocuments[[#This Row],[Score]] * 2000000 + (2000000 - ROW()), -1)</f>
        <v>1999939</v>
      </c>
      <c r="O61" s="14" t="str">
        <f>IF(TRIM(tblDocuments[[#This Row],[Document Name]] &amp; "") = "", "(untitled document)", TRIM(tblDocuments[[#This Row],[Document Name]] &amp; "")) &amp; IF(LEFT(LOWER(TRIM(tblDocuments[[#This Row],[Document Link]] &amp; "")), 4) = "http", "", "   (no link)")</f>
        <v>Support Request and Escalation Runbook</v>
      </c>
      <c r="P61" t="str">
        <f>IF(LEFT(LOWER(TRIM(tblDocuments[[#This Row],[Document Link]] &amp; "")), 4) = "http", TRIM(tblDocuments[[#This Row],[Document Link]] &amp; ""), "")</f>
        <v>https://contoso.sharepoint.com/sites/AVSProgram/Shared%20Documents/Operations/Support-Request-and-Escalation-Runbook.docx</v>
      </c>
    </row>
    <row r="62" spans="1:16" ht="28.5" x14ac:dyDescent="0.25">
      <c r="A62" s="11" t="s">
        <v>236</v>
      </c>
      <c r="B62" s="11" t="s">
        <v>89</v>
      </c>
      <c r="C62" s="11" t="s">
        <v>265</v>
      </c>
      <c r="D62" s="12" t="s">
        <v>266</v>
      </c>
      <c r="E62" s="13" t="s">
        <v>267</v>
      </c>
      <c r="F62" s="13" t="s">
        <v>268</v>
      </c>
      <c r="G62" s="14" t="str">
        <f>IF(TRIM(tblDocuments[[#This Row],[Scope]] &amp; "") = "", "(Unspecified)", TRIM(tblDocuments[[#This Row],[Scope]] &amp; ""))</f>
        <v>Operations</v>
      </c>
      <c r="H62" s="14">
        <f>SUBTOTAL(103, tblDocuments[[#This Row],[Scope Group]])</f>
        <v>1</v>
      </c>
      <c r="I6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checklist monthly platform health checklist monthly health review checklist covering capacity trend patch level backup success and open risks health check monthly checklist capacity patch risk </v>
      </c>
      <c r="J6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monthly platform health checklist health check monthly checklist capacity patch risk checklist operations </v>
      </c>
      <c r="K6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2" s="14">
        <f>IF(ScopeOverride = 1, 1, tblDocuments[[#This Row],[Visible]] * --(((TRIM(SelScope &amp; "") = "") + (TRIM(SelScope &amp; "") = "All") + (tblDocuments[[#This Row],[Scope Group]] = TRIM(SelScope &amp; ""))) &gt; 0))</f>
        <v>1</v>
      </c>
      <c r="N62" s="14">
        <f>IF(tblDocuments[[#This Row],[In Scope]] * IF(TermCount = 0, 1, IF(BestHits &gt; 0, --(tblDocuments[[#This Row],[Hits]] = BestHits), 0)) = 1, tblDocuments[[#This Row],[Score]] * 2000000 + (2000000 - ROW()), -1)</f>
        <v>1999938</v>
      </c>
      <c r="O62" s="14" t="str">
        <f>IF(TRIM(tblDocuments[[#This Row],[Document Name]] &amp; "") = "", "(untitled document)", TRIM(tblDocuments[[#This Row],[Document Name]] &amp; "")) &amp; IF(LEFT(LOWER(TRIM(tblDocuments[[#This Row],[Document Link]] &amp; "")), 4) = "http", "", "   (no link)")</f>
        <v>Monthly Platform Health Checklist</v>
      </c>
      <c r="P62" t="str">
        <f>IF(LEFT(LOWER(TRIM(tblDocuments[[#This Row],[Document Link]] &amp; "")), 4) = "http", TRIM(tblDocuments[[#This Row],[Document Link]] &amp; ""), "")</f>
        <v>https://contoso.sharepoint.com/sites/AVSProgram/Shared%20Documents/Operations/Monthly-Platform-Health-Checklist.xlsx</v>
      </c>
    </row>
    <row r="63" spans="1:16" ht="28.5" x14ac:dyDescent="0.25">
      <c r="A63" s="11" t="s">
        <v>236</v>
      </c>
      <c r="B63" s="11" t="s">
        <v>65</v>
      </c>
      <c r="C63" s="11" t="s">
        <v>269</v>
      </c>
      <c r="D63" s="12" t="s">
        <v>270</v>
      </c>
      <c r="E63" s="13" t="s">
        <v>271</v>
      </c>
      <c r="F63" s="13" t="s">
        <v>272</v>
      </c>
      <c r="G63" s="14" t="str">
        <f>IF(TRIM(tblDocuments[[#This Row],[Scope]] &amp; "") = "", "(Unspecified)", TRIM(tblDocuments[[#This Row],[Scope]] &amp; ""))</f>
        <v>Operations</v>
      </c>
      <c r="H63" s="14">
        <f>SUBTOTAL(103, tblDocuments[[#This Row],[Scope Group]])</f>
        <v>1</v>
      </c>
      <c r="I6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report avs monthly service report template template for the monthly service report issued to the business including availability and incident summary service report monthly availability incidents template </v>
      </c>
      <c r="J6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monthly service report template service report monthly availability incidents template report operations </v>
      </c>
      <c r="K6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3" s="14">
        <f>IF(ScopeOverride = 1, 1, tblDocuments[[#This Row],[Visible]] * --(((TRIM(SelScope &amp; "") = "") + (TRIM(SelScope &amp; "") = "All") + (tblDocuments[[#This Row],[Scope Group]] = TRIM(SelScope &amp; ""))) &gt; 0))</f>
        <v>1</v>
      </c>
      <c r="N63" s="14">
        <f>IF(tblDocuments[[#This Row],[In Scope]] * IF(TermCount = 0, 1, IF(BestHits &gt; 0, --(tblDocuments[[#This Row],[Hits]] = BestHits), 0)) = 1, tblDocuments[[#This Row],[Score]] * 2000000 + (2000000 - ROW()), -1)</f>
        <v>1999937</v>
      </c>
      <c r="O63" s="14" t="str">
        <f>IF(TRIM(tblDocuments[[#This Row],[Document Name]] &amp; "") = "", "(untitled document)", TRIM(tblDocuments[[#This Row],[Document Name]] &amp; "")) &amp; IF(LEFT(LOWER(TRIM(tblDocuments[[#This Row],[Document Link]] &amp; "")), 4) = "http", "", "   (no link)")</f>
        <v>AVS Monthly Service Report Template</v>
      </c>
      <c r="P63" t="str">
        <f>IF(LEFT(LOWER(TRIM(tblDocuments[[#This Row],[Document Link]] &amp; "")), 4) = "http", TRIM(tblDocuments[[#This Row],[Document Link]] &amp; ""), "")</f>
        <v>https://contoso.sharepoint.com/sites/AVSProgram/Shared%20Documents/Operations/AVS-Monthly-Service-Report-Template.pptx</v>
      </c>
    </row>
    <row r="64" spans="1:16" ht="28.5" x14ac:dyDescent="0.25">
      <c r="A64" s="11" t="s">
        <v>236</v>
      </c>
      <c r="B64" s="11" t="s">
        <v>107</v>
      </c>
      <c r="C64" s="11" t="s">
        <v>273</v>
      </c>
      <c r="D64" s="12" t="s">
        <v>274</v>
      </c>
      <c r="E64" s="13" t="s">
        <v>275</v>
      </c>
      <c r="F64" s="13" t="s">
        <v>276</v>
      </c>
      <c r="G64" s="14" t="str">
        <f>IF(TRIM(tblDocuments[[#This Row],[Scope]] &amp; "") = "", "(Unspecified)", TRIM(tblDocuments[[#This Row],[Scope]] &amp; ""))</f>
        <v>Operations</v>
      </c>
      <c r="H64" s="14">
        <f>SUBTOTAL(103, tblDocuments[[#This Row],[Scope Group]])</f>
        <v>1</v>
      </c>
      <c r="I6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sop virtual machine provisioning standard standard for provisioning new virtual machines in avs including naming tagging sizing and placement rules provisioning vm naming tagging sizing placement standard </v>
      </c>
      <c r="J6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virtual machine provisioning standard provisioning vm naming tagging sizing placement standard sop operations </v>
      </c>
      <c r="K64"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4"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4" s="14">
        <f>IF(ScopeOverride = 1, 1, tblDocuments[[#This Row],[Visible]] * --(((TRIM(SelScope &amp; "") = "") + (TRIM(SelScope &amp; "") = "All") + (tblDocuments[[#This Row],[Scope Group]] = TRIM(SelScope &amp; ""))) &gt; 0))</f>
        <v>1</v>
      </c>
      <c r="N64" s="14">
        <f>IF(tblDocuments[[#This Row],[In Scope]] * IF(TermCount = 0, 1, IF(BestHits &gt; 0, --(tblDocuments[[#This Row],[Hits]] = BestHits), 0)) = 1, tblDocuments[[#This Row],[Score]] * 2000000 + (2000000 - ROW()), -1)</f>
        <v>1999936</v>
      </c>
      <c r="O64" s="14" t="str">
        <f>IF(TRIM(tblDocuments[[#This Row],[Document Name]] &amp; "") = "", "(untitled document)", TRIM(tblDocuments[[#This Row],[Document Name]] &amp; "")) &amp; IF(LEFT(LOWER(TRIM(tblDocuments[[#This Row],[Document Link]] &amp; "")), 4) = "http", "", "   (no link)")</f>
        <v>Virtual Machine Provisioning Standard</v>
      </c>
      <c r="P64" t="str">
        <f>IF(LEFT(LOWER(TRIM(tblDocuments[[#This Row],[Document Link]] &amp; "")), 4) = "http", TRIM(tblDocuments[[#This Row],[Document Link]] &amp; ""), "")</f>
        <v>https://contoso.sharepoint.com/sites/AVSProgram/Shared%20Documents/Operations/Virtual-Machine-Provisioning-Standard.docx</v>
      </c>
    </row>
    <row r="65" spans="1:16" ht="28.5" x14ac:dyDescent="0.25">
      <c r="A65" s="11" t="s">
        <v>236</v>
      </c>
      <c r="B65" s="11" t="s">
        <v>51</v>
      </c>
      <c r="C65" s="11" t="s">
        <v>277</v>
      </c>
      <c r="D65" s="12" t="s">
        <v>278</v>
      </c>
      <c r="E65" s="13" t="s">
        <v>279</v>
      </c>
      <c r="F65" s="13" t="s">
        <v>280</v>
      </c>
      <c r="G65" s="14" t="str">
        <f>IF(TRIM(tblDocuments[[#This Row],[Scope]] &amp; "") = "", "(Unspecified)", TRIM(tblDocuments[[#This Row],[Scope]] &amp; ""))</f>
        <v>Operations</v>
      </c>
      <c r="H65" s="14">
        <f>SUBTOTAL(103, tblDocuments[[#This Row],[Scope Group]])</f>
        <v>1</v>
      </c>
      <c r="I6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guide vrealize operations dashboard guide guide to the custom vrealize operations dashboards built for the avs platform and how to interpret them vrops vrealize dashboard metrics reporting </v>
      </c>
      <c r="J6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vrealize operations dashboard guide vrops vrealize dashboard metrics reporting guide operations </v>
      </c>
      <c r="K6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5" s="14">
        <f>IF(ScopeOverride = 1, 1, tblDocuments[[#This Row],[Visible]] * --(((TRIM(SelScope &amp; "") = "") + (TRIM(SelScope &amp; "") = "All") + (tblDocuments[[#This Row],[Scope Group]] = TRIM(SelScope &amp; ""))) &gt; 0))</f>
        <v>1</v>
      </c>
      <c r="N65" s="14">
        <f>IF(tblDocuments[[#This Row],[In Scope]] * IF(TermCount = 0, 1, IF(BestHits &gt; 0, --(tblDocuments[[#This Row],[Hits]] = BestHits), 0)) = 1, tblDocuments[[#This Row],[Score]] * 2000000 + (2000000 - ROW()), -1)</f>
        <v>1999935</v>
      </c>
      <c r="O65" s="14" t="str">
        <f>IF(TRIM(tblDocuments[[#This Row],[Document Name]] &amp; "") = "", "(untitled document)", TRIM(tblDocuments[[#This Row],[Document Name]] &amp; "")) &amp; IF(LEFT(LOWER(TRIM(tblDocuments[[#This Row],[Document Link]] &amp; "")), 4) = "http", "", "   (no link)")</f>
        <v>vRealize Operations Dashboard Guide</v>
      </c>
      <c r="P65" t="str">
        <f>IF(LEFT(LOWER(TRIM(tblDocuments[[#This Row],[Document Link]] &amp; "")), 4) = "http", TRIM(tblDocuments[[#This Row],[Document Link]] &amp; ""), "")</f>
        <v>https://contoso.sharepoint.com/sites/AVSProgram/Shared%20Documents/Operations/vRealize-Operations-Dashboard-Guide.docx</v>
      </c>
    </row>
    <row r="66" spans="1:16" ht="28.5" x14ac:dyDescent="0.25">
      <c r="A66" s="11" t="s">
        <v>236</v>
      </c>
      <c r="B66" s="11" t="s">
        <v>76</v>
      </c>
      <c r="C66" s="11" t="s">
        <v>281</v>
      </c>
      <c r="D66" s="12" t="s">
        <v>282</v>
      </c>
      <c r="E66" s="13" t="s">
        <v>283</v>
      </c>
      <c r="F66" s="13" t="s">
        <v>284</v>
      </c>
      <c r="G66" s="14" t="str">
        <f>IF(TRIM(tblDocuments[[#This Row],[Scope]] &amp; "") = "", "(Unspecified)", TRIM(tblDocuments[[#This Row],[Scope]] &amp; ""))</f>
        <v>Operations</v>
      </c>
      <c r="H66" s="14">
        <f>SUBTOTAL(103, tblDocuments[[#This Row],[Scope Group]])</f>
        <v>1</v>
      </c>
      <c r="I6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runbook troubleshooting vm performance issues troubleshooting flow for cpu ready memory ballooning storage latency and network drops affecting avs workloads troubleshooting performance cpu ready ballooning latency contention </v>
      </c>
      <c r="J6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troubleshooting vm performance issues troubleshooting performance cpu ready ballooning latency contention runbook operations </v>
      </c>
      <c r="K6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6" s="14">
        <f>IF(ScopeOverride = 1, 1, tblDocuments[[#This Row],[Visible]] * --(((TRIM(SelScope &amp; "") = "") + (TRIM(SelScope &amp; "") = "All") + (tblDocuments[[#This Row],[Scope Group]] = TRIM(SelScope &amp; ""))) &gt; 0))</f>
        <v>1</v>
      </c>
      <c r="N66" s="14">
        <f>IF(tblDocuments[[#This Row],[In Scope]] * IF(TermCount = 0, 1, IF(BestHits &gt; 0, --(tblDocuments[[#This Row],[Hits]] = BestHits), 0)) = 1, tblDocuments[[#This Row],[Score]] * 2000000 + (2000000 - ROW()), -1)</f>
        <v>1999934</v>
      </c>
      <c r="O66" s="14" t="str">
        <f>IF(TRIM(tblDocuments[[#This Row],[Document Name]] &amp; "") = "", "(untitled document)", TRIM(tblDocuments[[#This Row],[Document Name]] &amp; "")) &amp; IF(LEFT(LOWER(TRIM(tblDocuments[[#This Row],[Document Link]] &amp; "")), 4) = "http", "", "   (no link)")</f>
        <v>Troubleshooting VM Performance Issues</v>
      </c>
      <c r="P66" t="str">
        <f>IF(LEFT(LOWER(TRIM(tblDocuments[[#This Row],[Document Link]] &amp; "")), 4) = "http", TRIM(tblDocuments[[#This Row],[Document Link]] &amp; ""), "")</f>
        <v>https://contoso.sharepoint.com/sites/AVSProgram/Shared%20Documents/Operations/Troubleshooting-VM-Performance-Issues.docx</v>
      </c>
    </row>
    <row r="67" spans="1:16" ht="28.5" x14ac:dyDescent="0.25">
      <c r="A67" s="11" t="s">
        <v>236</v>
      </c>
      <c r="B67" s="11" t="s">
        <v>174</v>
      </c>
      <c r="C67" s="11" t="s">
        <v>285</v>
      </c>
      <c r="D67" s="12" t="s">
        <v>286</v>
      </c>
      <c r="E67" s="13" t="s">
        <v>287</v>
      </c>
      <c r="F67" s="13" t="s">
        <v>288</v>
      </c>
      <c r="G67" s="14" t="str">
        <f>IF(TRIM(tblDocuments[[#This Row],[Scope]] &amp; "") = "", "(Unspecified)", TRIM(tblDocuments[[#This Row],[Scope]] &amp; ""))</f>
        <v>Operations</v>
      </c>
      <c r="H67" s="14">
        <f>SUBTOTAL(103, tblDocuments[[#This Row],[Scope Group]])</f>
        <v>1</v>
      </c>
      <c r="I6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policy tagging and naming convention policy mandatory resource tagging and naming conventions applied to avs resources and hosted workloads tagging naming convention policy metadata </v>
      </c>
      <c r="J6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tagging and naming convention policy tagging naming convention policy metadata policy operations </v>
      </c>
      <c r="K6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7" s="14">
        <f>IF(ScopeOverride = 1, 1, tblDocuments[[#This Row],[Visible]] * --(((TRIM(SelScope &amp; "") = "") + (TRIM(SelScope &amp; "") = "All") + (tblDocuments[[#This Row],[Scope Group]] = TRIM(SelScope &amp; ""))) &gt; 0))</f>
        <v>1</v>
      </c>
      <c r="N67" s="14">
        <f>IF(tblDocuments[[#This Row],[In Scope]] * IF(TermCount = 0, 1, IF(BestHits &gt; 0, --(tblDocuments[[#This Row],[Hits]] = BestHits), 0)) = 1, tblDocuments[[#This Row],[Score]] * 2000000 + (2000000 - ROW()), -1)</f>
        <v>1999933</v>
      </c>
      <c r="O67" s="14" t="str">
        <f>IF(TRIM(tblDocuments[[#This Row],[Document Name]] &amp; "") = "", "(untitled document)", TRIM(tblDocuments[[#This Row],[Document Name]] &amp; "")) &amp; IF(LEFT(LOWER(TRIM(tblDocuments[[#This Row],[Document Link]] &amp; "")), 4) = "http", "", "   (no link)")</f>
        <v>Tagging and Naming Convention Policy</v>
      </c>
      <c r="P67" t="str">
        <f>IF(LEFT(LOWER(TRIM(tblDocuments[[#This Row],[Document Link]] &amp; "")), 4) = "http", TRIM(tblDocuments[[#This Row],[Document Link]] &amp; ""), "")</f>
        <v>https://contoso.sharepoint.com/sites/AVSProgram/Shared%20Documents/Operations/Tagging-and-Naming-Convention-Policy.docx</v>
      </c>
    </row>
    <row r="68" spans="1:16" ht="28.5" x14ac:dyDescent="0.25">
      <c r="A68" s="11" t="s">
        <v>289</v>
      </c>
      <c r="B68" s="11" t="s">
        <v>21</v>
      </c>
      <c r="C68" s="11" t="s">
        <v>290</v>
      </c>
      <c r="D68" s="12" t="s">
        <v>291</v>
      </c>
      <c r="E68" s="13" t="s">
        <v>292</v>
      </c>
      <c r="F68" s="13" t="s">
        <v>293</v>
      </c>
      <c r="G68" s="14" t="str">
        <f>IF(TRIM(tblDocuments[[#This Row],[Scope]] &amp; "") = "", "(Unspecified)", TRIM(tblDocuments[[#This Row],[Scope]] &amp; ""))</f>
        <v>Storage</v>
      </c>
      <c r="H68" s="14">
        <f>SUBTOTAL(103, tblDocuments[[#This Row],[Scope Group]])</f>
        <v>1</v>
      </c>
      <c r="I6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storage lld vsan storage policy low level design design of the vsan storage policies including failures to tolerate stripe width and the policy to workload mapping vsan storage policy ftt raid stripe spbm lld </v>
      </c>
      <c r="J6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vsan storage policy low level design vsan storage policy ftt raid stripe spbm lld lld storage </v>
      </c>
      <c r="K6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8" s="14">
        <f>IF(ScopeOverride = 1, 1, tblDocuments[[#This Row],[Visible]] * --(((TRIM(SelScope &amp; "") = "") + (TRIM(SelScope &amp; "") = "All") + (tblDocuments[[#This Row],[Scope Group]] = TRIM(SelScope &amp; ""))) &gt; 0))</f>
        <v>1</v>
      </c>
      <c r="N68" s="14">
        <f>IF(tblDocuments[[#This Row],[In Scope]] * IF(TermCount = 0, 1, IF(BestHits &gt; 0, --(tblDocuments[[#This Row],[Hits]] = BestHits), 0)) = 1, tblDocuments[[#This Row],[Score]] * 2000000 + (2000000 - ROW()), -1)</f>
        <v>1999932</v>
      </c>
      <c r="O68" s="14" t="str">
        <f>IF(TRIM(tblDocuments[[#This Row],[Document Name]] &amp; "") = "", "(untitled document)", TRIM(tblDocuments[[#This Row],[Document Name]] &amp; "")) &amp; IF(LEFT(LOWER(TRIM(tblDocuments[[#This Row],[Document Link]] &amp; "")), 4) = "http", "", "   (no link)")</f>
        <v>vSAN Storage Policy Low Level Design</v>
      </c>
      <c r="P68" t="str">
        <f>IF(LEFT(LOWER(TRIM(tblDocuments[[#This Row],[Document Link]] &amp; "")), 4) = "http", TRIM(tblDocuments[[#This Row],[Document Link]] &amp; ""), "")</f>
        <v>https://contoso.sharepoint.com/sites/AVSProgram/Shared%20Documents/Storage/vSAN-Storage-Policy-Low-Level-Design.docx</v>
      </c>
    </row>
    <row r="69" spans="1:16" ht="28.5" x14ac:dyDescent="0.25">
      <c r="A69" s="11" t="s">
        <v>289</v>
      </c>
      <c r="B69" s="11" t="s">
        <v>51</v>
      </c>
      <c r="C69" s="11" t="s">
        <v>294</v>
      </c>
      <c r="D69" s="12" t="s">
        <v>295</v>
      </c>
      <c r="E69" s="13" t="s">
        <v>296</v>
      </c>
      <c r="F69" s="13" t="s">
        <v>297</v>
      </c>
      <c r="G69" s="14" t="str">
        <f>IF(TRIM(tblDocuments[[#This Row],[Scope]] &amp; "") = "", "(Unspecified)", TRIM(tblDocuments[[#This Row],[Scope]] &amp; ""))</f>
        <v>Storage</v>
      </c>
      <c r="H69" s="14">
        <f>SUBTOTAL(103, tblDocuments[[#This Row],[Scope Group]])</f>
        <v>1</v>
      </c>
      <c r="I6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storage guide azure netapp files datastore guide guide to attaching and operating azure netapp files datastores with avs to decouple storage from compute scaling anf azure netapp files datastore external storage decouple </v>
      </c>
      <c r="J6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azure netapp files datastore guide anf azure netapp files datastore external storage decouple guide storage </v>
      </c>
      <c r="K6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6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69" s="14">
        <f>IF(ScopeOverride = 1, 1, tblDocuments[[#This Row],[Visible]] * --(((TRIM(SelScope &amp; "") = "") + (TRIM(SelScope &amp; "") = "All") + (tblDocuments[[#This Row],[Scope Group]] = TRIM(SelScope &amp; ""))) &gt; 0))</f>
        <v>1</v>
      </c>
      <c r="N69" s="14">
        <f>IF(tblDocuments[[#This Row],[In Scope]] * IF(TermCount = 0, 1, IF(BestHits &gt; 0, --(tblDocuments[[#This Row],[Hits]] = BestHits), 0)) = 1, tblDocuments[[#This Row],[Score]] * 2000000 + (2000000 - ROW()), -1)</f>
        <v>1999931</v>
      </c>
      <c r="O69" s="14" t="str">
        <f>IF(TRIM(tblDocuments[[#This Row],[Document Name]] &amp; "") = "", "(untitled document)", TRIM(tblDocuments[[#This Row],[Document Name]] &amp; "")) &amp; IF(LEFT(LOWER(TRIM(tblDocuments[[#This Row],[Document Link]] &amp; "")), 4) = "http", "", "   (no link)")</f>
        <v>Azure NetApp Files Datastore Guide</v>
      </c>
      <c r="P69" t="str">
        <f>IF(LEFT(LOWER(TRIM(tblDocuments[[#This Row],[Document Link]] &amp; "")), 4) = "http", TRIM(tblDocuments[[#This Row],[Document Link]] &amp; ""), "")</f>
        <v>https://contoso.sharepoint.com/sites/AVSProgram/Shared%20Documents/Storage/Azure-NetApp-Files-Datastore-Guide.docx</v>
      </c>
    </row>
    <row r="70" spans="1:16" ht="28.5" x14ac:dyDescent="0.25">
      <c r="A70" s="11" t="s">
        <v>289</v>
      </c>
      <c r="B70" s="11" t="s">
        <v>76</v>
      </c>
      <c r="C70" s="11" t="s">
        <v>298</v>
      </c>
      <c r="D70" s="12" t="s">
        <v>299</v>
      </c>
      <c r="E70" s="13" t="s">
        <v>300</v>
      </c>
      <c r="F70" s="13" t="s">
        <v>301</v>
      </c>
      <c r="G70" s="14" t="str">
        <f>IF(TRIM(tblDocuments[[#This Row],[Scope]] &amp; "") = "", "(Unspecified)", TRIM(tblDocuments[[#This Row],[Scope]] &amp; ""))</f>
        <v>Storage</v>
      </c>
      <c r="H70" s="14">
        <f>SUBTOTAL(103, tblDocuments[[#This Row],[Scope Group]])</f>
        <v>1</v>
      </c>
      <c r="I7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storage runbook datastore capacity management runbook runbook for monitoring datastore utilisation managing slack space and responding to capacity alerts datastore capacity slack space utilisation alerts </v>
      </c>
      <c r="J7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datastore capacity management runbook datastore capacity slack space utilisation alerts runbook storage </v>
      </c>
      <c r="K7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0" s="14">
        <f>IF(ScopeOverride = 1, 1, tblDocuments[[#This Row],[Visible]] * --(((TRIM(SelScope &amp; "") = "") + (TRIM(SelScope &amp; "") = "All") + (tblDocuments[[#This Row],[Scope Group]] = TRIM(SelScope &amp; ""))) &gt; 0))</f>
        <v>1</v>
      </c>
      <c r="N70" s="14">
        <f>IF(tblDocuments[[#This Row],[In Scope]] * IF(TermCount = 0, 1, IF(BestHits &gt; 0, --(tblDocuments[[#This Row],[Hits]] = BestHits), 0)) = 1, tblDocuments[[#This Row],[Score]] * 2000000 + (2000000 - ROW()), -1)</f>
        <v>1999930</v>
      </c>
      <c r="O70" s="14" t="str">
        <f>IF(TRIM(tblDocuments[[#This Row],[Document Name]] &amp; "") = "", "(untitled document)", TRIM(tblDocuments[[#This Row],[Document Name]] &amp; "")) &amp; IF(LEFT(LOWER(TRIM(tblDocuments[[#This Row],[Document Link]] &amp; "")), 4) = "http", "", "   (no link)")</f>
        <v>Datastore Capacity Management Runbook</v>
      </c>
      <c r="P70" t="str">
        <f>IF(LEFT(LOWER(TRIM(tblDocuments[[#This Row],[Document Link]] &amp; "")), 4) = "http", TRIM(tblDocuments[[#This Row],[Document Link]] &amp; ""), "")</f>
        <v>https://contoso.sharepoint.com/sites/AVSProgram/Shared%20Documents/Storage/Datastore-Capacity-Management-Runbook.docx</v>
      </c>
    </row>
    <row r="71" spans="1:16" ht="28.5" x14ac:dyDescent="0.25">
      <c r="A71" s="11" t="s">
        <v>289</v>
      </c>
      <c r="B71" s="11" t="s">
        <v>51</v>
      </c>
      <c r="C71" s="11" t="s">
        <v>302</v>
      </c>
      <c r="D71" s="12" t="s">
        <v>303</v>
      </c>
      <c r="E71" s="13" t="s">
        <v>304</v>
      </c>
      <c r="F71" s="13" t="s">
        <v>305</v>
      </c>
      <c r="G71" s="14" t="str">
        <f>IF(TRIM(tblDocuments[[#This Row],[Scope]] &amp; "") = "", "(Unspecified)", TRIM(tblDocuments[[#This Row],[Scope]] &amp; ""))</f>
        <v>Storage</v>
      </c>
      <c r="H71" s="14">
        <f>SUBTOTAL(103, tblDocuments[[#This Row],[Scope Group]])</f>
        <v>1</v>
      </c>
      <c r="I7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storage guide elastic san and azure files integration options for presenting azure elastic san and azure files storage to workloads running in avs elastic san azure files iscsi smb external storage </v>
      </c>
      <c r="J7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elastic san and azure files integration elastic san azure files iscsi smb external storage guide storage </v>
      </c>
      <c r="K7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1" s="14">
        <f>IF(ScopeOverride = 1, 1, tblDocuments[[#This Row],[Visible]] * --(((TRIM(SelScope &amp; "") = "") + (TRIM(SelScope &amp; "") = "All") + (tblDocuments[[#This Row],[Scope Group]] = TRIM(SelScope &amp; ""))) &gt; 0))</f>
        <v>1</v>
      </c>
      <c r="N71" s="14">
        <f>IF(tblDocuments[[#This Row],[In Scope]] * IF(TermCount = 0, 1, IF(BestHits &gt; 0, --(tblDocuments[[#This Row],[Hits]] = BestHits), 0)) = 1, tblDocuments[[#This Row],[Score]] * 2000000 + (2000000 - ROW()), -1)</f>
        <v>1999929</v>
      </c>
      <c r="O71" s="14" t="str">
        <f>IF(TRIM(tblDocuments[[#This Row],[Document Name]] &amp; "") = "", "(untitled document)", TRIM(tblDocuments[[#This Row],[Document Name]] &amp; "")) &amp; IF(LEFT(LOWER(TRIM(tblDocuments[[#This Row],[Document Link]] &amp; "")), 4) = "http", "", "   (no link)")</f>
        <v>Elastic SAN and Azure Files Integration</v>
      </c>
      <c r="P71" t="str">
        <f>IF(LEFT(LOWER(TRIM(tblDocuments[[#This Row],[Document Link]] &amp; "")), 4) = "http", TRIM(tblDocuments[[#This Row],[Document Link]] &amp; ""), "")</f>
        <v>https://contoso.sharepoint.com/sites/AVSProgram/Shared%20Documents/Storage/Elastic-SAN-and-Azure-Files-Integration.docx</v>
      </c>
    </row>
    <row r="72" spans="1:16" ht="28.5" x14ac:dyDescent="0.25">
      <c r="A72" s="11" t="s">
        <v>289</v>
      </c>
      <c r="B72" s="11" t="s">
        <v>107</v>
      </c>
      <c r="C72" s="11" t="s">
        <v>306</v>
      </c>
      <c r="D72" s="12" t="s">
        <v>307</v>
      </c>
      <c r="E72" s="13" t="s">
        <v>308</v>
      </c>
      <c r="F72" s="13" t="s">
        <v>309</v>
      </c>
      <c r="G72" s="14" t="str">
        <f>IF(TRIM(tblDocuments[[#This Row],[Scope]] &amp; "") = "", "(Unspecified)", TRIM(tblDocuments[[#This Row],[Scope]] &amp; ""))</f>
        <v>Storage</v>
      </c>
      <c r="H72" s="14">
        <f>SUBTOTAL(103, tblDocuments[[#This Row],[Scope Group]])</f>
        <v>1</v>
      </c>
      <c r="I7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storage sop storage policy change procedure procedure for changing a virtual machine storage policy including impact assessment and resync monitoring storage policy change resync spbm impact </v>
      </c>
      <c r="J7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storage policy change procedure storage policy change resync spbm impact sop storage </v>
      </c>
      <c r="K7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2" s="14">
        <f>IF(ScopeOverride = 1, 1, tblDocuments[[#This Row],[Visible]] * --(((TRIM(SelScope &amp; "") = "") + (TRIM(SelScope &amp; "") = "All") + (tblDocuments[[#This Row],[Scope Group]] = TRIM(SelScope &amp; ""))) &gt; 0))</f>
        <v>1</v>
      </c>
      <c r="N72" s="14">
        <f>IF(tblDocuments[[#This Row],[In Scope]] * IF(TermCount = 0, 1, IF(BestHits &gt; 0, --(tblDocuments[[#This Row],[Hits]] = BestHits), 0)) = 1, tblDocuments[[#This Row],[Score]] * 2000000 + (2000000 - ROW()), -1)</f>
        <v>1999928</v>
      </c>
      <c r="O72" s="14" t="str">
        <f>IF(TRIM(tblDocuments[[#This Row],[Document Name]] &amp; "") = "", "(untitled document)", TRIM(tblDocuments[[#This Row],[Document Name]] &amp; "")) &amp; IF(LEFT(LOWER(TRIM(tblDocuments[[#This Row],[Document Link]] &amp; "")), 4) = "http", "", "   (no link)")</f>
        <v>Storage Policy Change Procedure</v>
      </c>
      <c r="P72" t="str">
        <f>IF(LEFT(LOWER(TRIM(tblDocuments[[#This Row],[Document Link]] &amp; "")), 4) = "http", TRIM(tblDocuments[[#This Row],[Document Link]] &amp; ""), "")</f>
        <v>https://contoso.sharepoint.com/sites/AVSProgram/Shared%20Documents/Storage/Storage-Policy-Change-Procedure.docx</v>
      </c>
    </row>
    <row r="73" spans="1:16" ht="28.5" x14ac:dyDescent="0.25">
      <c r="A73" s="11" t="s">
        <v>289</v>
      </c>
      <c r="B73" s="11" t="s">
        <v>65</v>
      </c>
      <c r="C73" s="11" t="s">
        <v>310</v>
      </c>
      <c r="D73" s="12" t="s">
        <v>311</v>
      </c>
      <c r="E73" s="13" t="s">
        <v>312</v>
      </c>
      <c r="F73" s="13" t="s">
        <v>313</v>
      </c>
      <c r="G73" s="14" t="str">
        <f>IF(TRIM(tblDocuments[[#This Row],[Scope]] &amp; "") = "", "(Unspecified)", TRIM(tblDocuments[[#This Row],[Scope]] &amp; ""))</f>
        <v>Storage</v>
      </c>
      <c r="H73" s="14">
        <f>SUBTOTAL(103, tblDocuments[[#This Row],[Scope Group]])</f>
        <v>1</v>
      </c>
      <c r="I7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storage report vsan utilisation and growth report monthly vsan utilisation deduplication ratio and projected growth across all clusters vsan utilisation deduplication growth report forecast </v>
      </c>
      <c r="J7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vsan utilisation and growth report vsan utilisation deduplication growth report forecast report storage </v>
      </c>
      <c r="K7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3" s="14">
        <f>IF(ScopeOverride = 1, 1, tblDocuments[[#This Row],[Visible]] * --(((TRIM(SelScope &amp; "") = "") + (TRIM(SelScope &amp; "") = "All") + (tblDocuments[[#This Row],[Scope Group]] = TRIM(SelScope &amp; ""))) &gt; 0))</f>
        <v>1</v>
      </c>
      <c r="N73" s="14">
        <f>IF(tblDocuments[[#This Row],[In Scope]] * IF(TermCount = 0, 1, IF(BestHits &gt; 0, --(tblDocuments[[#This Row],[Hits]] = BestHits), 0)) = 1, tblDocuments[[#This Row],[Score]] * 2000000 + (2000000 - ROW()), -1)</f>
        <v>1999927</v>
      </c>
      <c r="O73" s="14" t="str">
        <f>IF(TRIM(tblDocuments[[#This Row],[Document Name]] &amp; "") = "", "(untitled document)", TRIM(tblDocuments[[#This Row],[Document Name]] &amp; "")) &amp; IF(LEFT(LOWER(TRIM(tblDocuments[[#This Row],[Document Link]] &amp; "")), 4) = "http", "", "   (no link)")</f>
        <v>vSAN Utilisation and Growth Report</v>
      </c>
      <c r="P73" t="str">
        <f>IF(LEFT(LOWER(TRIM(tblDocuments[[#This Row],[Document Link]] &amp; "")), 4) = "http", TRIM(tblDocuments[[#This Row],[Document Link]] &amp; ""), "")</f>
        <v>https://contoso.sharepoint.com/sites/AVSProgram/Shared%20Documents/Storage/vSAN-Utilisation-and-Growth-Report.xlsx</v>
      </c>
    </row>
    <row r="74" spans="1:16" ht="28.5" x14ac:dyDescent="0.25">
      <c r="A74" s="11" t="s">
        <v>314</v>
      </c>
      <c r="B74" s="11" t="s">
        <v>16</v>
      </c>
      <c r="C74" s="11" t="s">
        <v>315</v>
      </c>
      <c r="D74" s="12" t="s">
        <v>316</v>
      </c>
      <c r="E74" s="13" t="s">
        <v>317</v>
      </c>
      <c r="F74" s="13" t="s">
        <v>318</v>
      </c>
      <c r="G74" s="14" t="str">
        <f>IF(TRIM(tblDocuments[[#This Row],[Scope]] &amp; "") = "", "(Unspecified)", TRIM(tblDocuments[[#This Row],[Scope]] &amp; ""))</f>
        <v>Backup &amp; DR</v>
      </c>
      <c r="H74" s="14">
        <f>SUBTOTAL(103, tblDocuments[[#This Row],[Scope Group]])</f>
        <v>1</v>
      </c>
      <c r="I7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backup dr hld backup and recovery high level design high level design for backing up avs workloads retention tiers and the placement of backup infrastructure backup recovery retention hld veeam repository </v>
      </c>
      <c r="J7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backup and recovery high level design backup recovery retention hld veeam repository hld backup dr </v>
      </c>
      <c r="K74"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4"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4" s="14">
        <f>IF(ScopeOverride = 1, 1, tblDocuments[[#This Row],[Visible]] * --(((TRIM(SelScope &amp; "") = "") + (TRIM(SelScope &amp; "") = "All") + (tblDocuments[[#This Row],[Scope Group]] = TRIM(SelScope &amp; ""))) &gt; 0))</f>
        <v>1</v>
      </c>
      <c r="N74" s="14">
        <f>IF(tblDocuments[[#This Row],[In Scope]] * IF(TermCount = 0, 1, IF(BestHits &gt; 0, --(tblDocuments[[#This Row],[Hits]] = BestHits), 0)) = 1, tblDocuments[[#This Row],[Score]] * 2000000 + (2000000 - ROW()), -1)</f>
        <v>1999926</v>
      </c>
      <c r="O74" s="14" t="str">
        <f>IF(TRIM(tblDocuments[[#This Row],[Document Name]] &amp; "") = "", "(untitled document)", TRIM(tblDocuments[[#This Row],[Document Name]] &amp; "")) &amp; IF(LEFT(LOWER(TRIM(tblDocuments[[#This Row],[Document Link]] &amp; "")), 4) = "http", "", "   (no link)")</f>
        <v>Backup and Recovery High Level Design</v>
      </c>
      <c r="P74" t="str">
        <f>IF(LEFT(LOWER(TRIM(tblDocuments[[#This Row],[Document Link]] &amp; "")), 4) = "http", TRIM(tblDocuments[[#This Row],[Document Link]] &amp; ""), "")</f>
        <v>https://contoso.sharepoint.com/sites/AVSProgram/Shared%20Documents/BackupDR/Backup-and-Recovery-High-Level-Design.docx</v>
      </c>
    </row>
    <row r="75" spans="1:16" ht="28.5" x14ac:dyDescent="0.25">
      <c r="A75" s="11" t="s">
        <v>314</v>
      </c>
      <c r="B75" s="11" t="s">
        <v>76</v>
      </c>
      <c r="C75" s="11" t="s">
        <v>319</v>
      </c>
      <c r="D75" s="12" t="s">
        <v>320</v>
      </c>
      <c r="E75" s="13" t="s">
        <v>321</v>
      </c>
      <c r="F75" s="13" t="s">
        <v>322</v>
      </c>
      <c r="G75" s="14" t="str">
        <f>IF(TRIM(tblDocuments[[#This Row],[Scope]] &amp; "") = "", "(Unspecified)", TRIM(tblDocuments[[#This Row],[Scope]] &amp; ""))</f>
        <v>Backup &amp; DR</v>
      </c>
      <c r="H75" s="14">
        <f>SUBTOTAL(103, tblDocuments[[#This Row],[Scope Group]])</f>
        <v>1</v>
      </c>
      <c r="I7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backup dr runbook veeam backup restore runbook runbook for performing file level vm level and full application restores from veeam backups veeam restore file level vm restore recovery runbook </v>
      </c>
      <c r="J7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veeam backup restore runbook veeam restore file level vm restore recovery runbook runbook backup dr </v>
      </c>
      <c r="K7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5" s="14">
        <f>IF(ScopeOverride = 1, 1, tblDocuments[[#This Row],[Visible]] * --(((TRIM(SelScope &amp; "") = "") + (TRIM(SelScope &amp; "") = "All") + (tblDocuments[[#This Row],[Scope Group]] = TRIM(SelScope &amp; ""))) &gt; 0))</f>
        <v>1</v>
      </c>
      <c r="N75" s="14">
        <f>IF(tblDocuments[[#This Row],[In Scope]] * IF(TermCount = 0, 1, IF(BestHits &gt; 0, --(tblDocuments[[#This Row],[Hits]] = BestHits), 0)) = 1, tblDocuments[[#This Row],[Score]] * 2000000 + (2000000 - ROW()), -1)</f>
        <v>1999925</v>
      </c>
      <c r="O75" s="14" t="str">
        <f>IF(TRIM(tblDocuments[[#This Row],[Document Name]] &amp; "") = "", "(untitled document)", TRIM(tblDocuments[[#This Row],[Document Name]] &amp; "")) &amp; IF(LEFT(LOWER(TRIM(tblDocuments[[#This Row],[Document Link]] &amp; "")), 4) = "http", "", "   (no link)")</f>
        <v>Veeam Backup Restore Runbook</v>
      </c>
      <c r="P75" t="str">
        <f>IF(LEFT(LOWER(TRIM(tblDocuments[[#This Row],[Document Link]] &amp; "")), 4) = "http", TRIM(tblDocuments[[#This Row],[Document Link]] &amp; ""), "")</f>
        <v>https://contoso.sharepoint.com/sites/AVSProgram/Shared%20Documents/BackupDR/Veeam-Backup-Restore-Runbook.docx</v>
      </c>
    </row>
    <row r="76" spans="1:16" ht="28.5" x14ac:dyDescent="0.25">
      <c r="A76" s="11" t="s">
        <v>314</v>
      </c>
      <c r="B76" s="11" t="s">
        <v>16</v>
      </c>
      <c r="C76" s="11" t="s">
        <v>323</v>
      </c>
      <c r="D76" s="12" t="s">
        <v>324</v>
      </c>
      <c r="E76" s="13" t="s">
        <v>325</v>
      </c>
      <c r="F76" s="13" t="s">
        <v>326</v>
      </c>
      <c r="G76" s="14" t="str">
        <f>IF(TRIM(tblDocuments[[#This Row],[Scope]] &amp; "") = "", "(Unspecified)", TRIM(tblDocuments[[#This Row],[Scope]] &amp; ""))</f>
        <v>Backup &amp; DR</v>
      </c>
      <c r="H76" s="14">
        <f>SUBTOTAL(103, tblDocuments[[#This Row],[Scope Group]])</f>
        <v>1</v>
      </c>
      <c r="I7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backup dr hld disaster recovery design for avs dr design covering the protected estate recovery site rpo and rto commitments and orchestration tooling dr disaster recovery rpo rto failover orchestration </v>
      </c>
      <c r="J7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disaster recovery design for avs dr disaster recovery rpo rto failover orchestration hld backup dr </v>
      </c>
      <c r="K7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6" s="14">
        <f>IF(ScopeOverride = 1, 1, tblDocuments[[#This Row],[Visible]] * --(((TRIM(SelScope &amp; "") = "") + (TRIM(SelScope &amp; "") = "All") + (tblDocuments[[#This Row],[Scope Group]] = TRIM(SelScope &amp; ""))) &gt; 0))</f>
        <v>1</v>
      </c>
      <c r="N76" s="14">
        <f>IF(tblDocuments[[#This Row],[In Scope]] * IF(TermCount = 0, 1, IF(BestHits &gt; 0, --(tblDocuments[[#This Row],[Hits]] = BestHits), 0)) = 1, tblDocuments[[#This Row],[Score]] * 2000000 + (2000000 - ROW()), -1)</f>
        <v>1999924</v>
      </c>
      <c r="O76" s="14" t="str">
        <f>IF(TRIM(tblDocuments[[#This Row],[Document Name]] &amp; "") = "", "(untitled document)", TRIM(tblDocuments[[#This Row],[Document Name]] &amp; "")) &amp; IF(LEFT(LOWER(TRIM(tblDocuments[[#This Row],[Document Link]] &amp; "")), 4) = "http", "", "   (no link)")</f>
        <v>Disaster Recovery Design for AVS</v>
      </c>
      <c r="P76" t="str">
        <f>IF(LEFT(LOWER(TRIM(tblDocuments[[#This Row],[Document Link]] &amp; "")), 4) = "http", TRIM(tblDocuments[[#This Row],[Document Link]] &amp; ""), "")</f>
        <v>https://contoso.sharepoint.com/sites/AVSProgram/Shared%20Documents/BackupDR/Disaster-Recovery-Design-for-AVS.docx</v>
      </c>
    </row>
    <row r="77" spans="1:16" ht="28.5" x14ac:dyDescent="0.25">
      <c r="A77" s="11" t="s">
        <v>314</v>
      </c>
      <c r="B77" s="11" t="s">
        <v>76</v>
      </c>
      <c r="C77" s="11" t="s">
        <v>327</v>
      </c>
      <c r="D77" s="12" t="s">
        <v>328</v>
      </c>
      <c r="E77" s="13" t="s">
        <v>329</v>
      </c>
      <c r="F77" s="13" t="s">
        <v>330</v>
      </c>
      <c r="G77" s="14" t="str">
        <f>IF(TRIM(tblDocuments[[#This Row],[Scope]] &amp; "") = "", "(Unspecified)", TRIM(tblDocuments[[#This Row],[Scope]] &amp; ""))</f>
        <v>Backup &amp; DR</v>
      </c>
      <c r="H77" s="14">
        <f>SUBTOTAL(103, tblDocuments[[#This Row],[Scope Group]])</f>
        <v>1</v>
      </c>
      <c r="I7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backup dr runbook dr failover and failback runbook runbook for declaring a disaster executing failover to the recovery region and subsequently failing back failover failback dr invocation recovery region runbook </v>
      </c>
      <c r="J7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dr failover and failback runbook failover failback dr invocation recovery region runbook runbook backup dr </v>
      </c>
      <c r="K7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7" s="14">
        <f>IF(ScopeOverride = 1, 1, tblDocuments[[#This Row],[Visible]] * --(((TRIM(SelScope &amp; "") = "") + (TRIM(SelScope &amp; "") = "All") + (tblDocuments[[#This Row],[Scope Group]] = TRIM(SelScope &amp; ""))) &gt; 0))</f>
        <v>1</v>
      </c>
      <c r="N77" s="14">
        <f>IF(tblDocuments[[#This Row],[In Scope]] * IF(TermCount = 0, 1, IF(BestHits &gt; 0, --(tblDocuments[[#This Row],[Hits]] = BestHits), 0)) = 1, tblDocuments[[#This Row],[Score]] * 2000000 + (2000000 - ROW()), -1)</f>
        <v>1999923</v>
      </c>
      <c r="O77" s="14" t="str">
        <f>IF(TRIM(tblDocuments[[#This Row],[Document Name]] &amp; "") = "", "(untitled document)", TRIM(tblDocuments[[#This Row],[Document Name]] &amp; "")) &amp; IF(LEFT(LOWER(TRIM(tblDocuments[[#This Row],[Document Link]] &amp; "")), 4) = "http", "", "   (no link)")</f>
        <v>DR Failover and Failback Runbook</v>
      </c>
      <c r="P77" t="str">
        <f>IF(LEFT(LOWER(TRIM(tblDocuments[[#This Row],[Document Link]] &amp; "")), 4) = "http", TRIM(tblDocuments[[#This Row],[Document Link]] &amp; ""), "")</f>
        <v>https://contoso.sharepoint.com/sites/AVSProgram/Shared%20Documents/BackupDR/DR-Failover-and-Failback-Runbook.docx</v>
      </c>
    </row>
    <row r="78" spans="1:16" ht="28.5" x14ac:dyDescent="0.25">
      <c r="A78" s="11" t="s">
        <v>314</v>
      </c>
      <c r="B78" s="11" t="s">
        <v>51</v>
      </c>
      <c r="C78" s="11" t="s">
        <v>331</v>
      </c>
      <c r="D78" s="12" t="s">
        <v>332</v>
      </c>
      <c r="E78" s="13" t="s">
        <v>333</v>
      </c>
      <c r="F78" s="13" t="s">
        <v>334</v>
      </c>
      <c r="G78" s="14" t="str">
        <f>IF(TRIM(tblDocuments[[#This Row],[Scope]] &amp; "") = "", "(Unspecified)", TRIM(tblDocuments[[#This Row],[Scope]] &amp; ""))</f>
        <v>Backup &amp; DR</v>
      </c>
      <c r="H78" s="14">
        <f>SUBTOTAL(103, tblDocuments[[#This Row],[Scope Group]])</f>
        <v>1</v>
      </c>
      <c r="I7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backup dr guide vmware site recovery manager configuration configuration guide for srm protection groups recovery plans and replication settings used in the dr solution srm site recovery manager protection group recovery plan replication </v>
      </c>
      <c r="J7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vmware site recovery manager configuration srm site recovery manager protection group recovery plan replication guide backup dr </v>
      </c>
      <c r="K7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8" s="14">
        <f>IF(ScopeOverride = 1, 1, tblDocuments[[#This Row],[Visible]] * --(((TRIM(SelScope &amp; "") = "") + (TRIM(SelScope &amp; "") = "All") + (tblDocuments[[#This Row],[Scope Group]] = TRIM(SelScope &amp; ""))) &gt; 0))</f>
        <v>1</v>
      </c>
      <c r="N78" s="14">
        <f>IF(tblDocuments[[#This Row],[In Scope]] * IF(TermCount = 0, 1, IF(BestHits &gt; 0, --(tblDocuments[[#This Row],[Hits]] = BestHits), 0)) = 1, tblDocuments[[#This Row],[Score]] * 2000000 + (2000000 - ROW()), -1)</f>
        <v>1999922</v>
      </c>
      <c r="O78" s="14" t="str">
        <f>IF(TRIM(tblDocuments[[#This Row],[Document Name]] &amp; "") = "", "(untitled document)", TRIM(tblDocuments[[#This Row],[Document Name]] &amp; "")) &amp; IF(LEFT(LOWER(TRIM(tblDocuments[[#This Row],[Document Link]] &amp; "")), 4) = "http", "", "   (no link)")</f>
        <v>VMware Site Recovery Manager Configuration</v>
      </c>
      <c r="P78" t="str">
        <f>IF(LEFT(LOWER(TRIM(tblDocuments[[#This Row],[Document Link]] &amp; "")), 4) = "http", TRIM(tblDocuments[[#This Row],[Document Link]] &amp; ""), "")</f>
        <v>https://contoso.sharepoint.com/sites/AVSProgram/Shared%20Documents/BackupDR/VMware-Site-Recovery-Manager-Configuration.docx</v>
      </c>
    </row>
    <row r="79" spans="1:16" ht="28.5" x14ac:dyDescent="0.25">
      <c r="A79" s="11" t="s">
        <v>314</v>
      </c>
      <c r="B79" s="11" t="s">
        <v>65</v>
      </c>
      <c r="C79" s="11" t="s">
        <v>335</v>
      </c>
      <c r="D79" s="12" t="s">
        <v>336</v>
      </c>
      <c r="E79" s="13" t="s">
        <v>337</v>
      </c>
      <c r="F79" s="13" t="s">
        <v>338</v>
      </c>
      <c r="G79" s="14" t="str">
        <f>IF(TRIM(tblDocuments[[#This Row],[Scope]] &amp; "") = "", "(Unspecified)", TRIM(tblDocuments[[#This Row],[Scope]] &amp; ""))</f>
        <v>Backup &amp; DR</v>
      </c>
      <c r="H79" s="14">
        <f>SUBTOTAL(103, tblDocuments[[#This Row],[Scope Group]])</f>
        <v>1</v>
      </c>
      <c r="I7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backup dr report annual dr test report results of the annual disaster recovery test including achieved rto issues encountered and remediation actions dr test rto results remediation annual exercise </v>
      </c>
      <c r="J7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annual dr test report dr test rto results remediation annual exercise report backup dr </v>
      </c>
      <c r="K7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7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79" s="14">
        <f>IF(ScopeOverride = 1, 1, tblDocuments[[#This Row],[Visible]] * --(((TRIM(SelScope &amp; "") = "") + (TRIM(SelScope &amp; "") = "All") + (tblDocuments[[#This Row],[Scope Group]] = TRIM(SelScope &amp; ""))) &gt; 0))</f>
        <v>1</v>
      </c>
      <c r="N79" s="14">
        <f>IF(tblDocuments[[#This Row],[In Scope]] * IF(TermCount = 0, 1, IF(BestHits &gt; 0, --(tblDocuments[[#This Row],[Hits]] = BestHits), 0)) = 1, tblDocuments[[#This Row],[Score]] * 2000000 + (2000000 - ROW()), -1)</f>
        <v>1999921</v>
      </c>
      <c r="O79" s="14" t="str">
        <f>IF(TRIM(tblDocuments[[#This Row],[Document Name]] &amp; "") = "", "(untitled document)", TRIM(tblDocuments[[#This Row],[Document Name]] &amp; "")) &amp; IF(LEFT(LOWER(TRIM(tblDocuments[[#This Row],[Document Link]] &amp; "")), 4) = "http", "", "   (no link)")</f>
        <v>Annual DR Test Report</v>
      </c>
      <c r="P79" t="str">
        <f>IF(LEFT(LOWER(TRIM(tblDocuments[[#This Row],[Document Link]] &amp; "")), 4) = "http", TRIM(tblDocuments[[#This Row],[Document Link]] &amp; ""), "")</f>
        <v>https://contoso.sharepoint.com/sites/AVSProgram/Shared%20Documents/BackupDR/Annual-DR-Test-Report.pdf</v>
      </c>
    </row>
    <row r="80" spans="1:16" ht="28.5" x14ac:dyDescent="0.25">
      <c r="A80" s="11" t="s">
        <v>314</v>
      </c>
      <c r="B80" s="11" t="s">
        <v>89</v>
      </c>
      <c r="C80" s="11" t="s">
        <v>339</v>
      </c>
      <c r="D80" s="12" t="s">
        <v>340</v>
      </c>
      <c r="E80" s="13" t="s">
        <v>341</v>
      </c>
      <c r="F80" s="13" t="s">
        <v>342</v>
      </c>
      <c r="G80" s="14" t="str">
        <f>IF(TRIM(tblDocuments[[#This Row],[Scope]] &amp; "") = "", "(Unspecified)", TRIM(tblDocuments[[#This Row],[Scope]] &amp; ""))</f>
        <v>Backup &amp; DR</v>
      </c>
      <c r="H80" s="14">
        <f>SUBTOTAL(103, tblDocuments[[#This Row],[Scope Group]])</f>
        <v>1</v>
      </c>
      <c r="I8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backup dr checklist dr invocation checklist checklist used by the incident commander when invoking disaster recovery for the avs estate dr invocation checklist incident commander declaration </v>
      </c>
      <c r="J8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dr invocation checklist dr invocation checklist incident commander declaration checklist backup dr </v>
      </c>
      <c r="K8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0" s="14">
        <f>IF(ScopeOverride = 1, 1, tblDocuments[[#This Row],[Visible]] * --(((TRIM(SelScope &amp; "") = "") + (TRIM(SelScope &amp; "") = "All") + (tblDocuments[[#This Row],[Scope Group]] = TRIM(SelScope &amp; ""))) &gt; 0))</f>
        <v>1</v>
      </c>
      <c r="N80" s="14">
        <f>IF(tblDocuments[[#This Row],[In Scope]] * IF(TermCount = 0, 1, IF(BestHits &gt; 0, --(tblDocuments[[#This Row],[Hits]] = BestHits), 0)) = 1, tblDocuments[[#This Row],[Score]] * 2000000 + (2000000 - ROW()), -1)</f>
        <v>1999920</v>
      </c>
      <c r="O80" s="14" t="str">
        <f>IF(TRIM(tblDocuments[[#This Row],[Document Name]] &amp; "") = "", "(untitled document)", TRIM(tblDocuments[[#This Row],[Document Name]] &amp; "")) &amp; IF(LEFT(LOWER(TRIM(tblDocuments[[#This Row],[Document Link]] &amp; "")), 4) = "http", "", "   (no link)")</f>
        <v>DR Invocation Checklist</v>
      </c>
      <c r="P80" t="str">
        <f>IF(LEFT(LOWER(TRIM(tblDocuments[[#This Row],[Document Link]] &amp; "")), 4) = "http", TRIM(tblDocuments[[#This Row],[Document Link]] &amp; ""), "")</f>
        <v>https://contoso.sharepoint.com/sites/AVSProgram/Shared%20Documents/BackupDR/DR-Invocation-Checklist.xlsx</v>
      </c>
    </row>
    <row r="81" spans="1:16" ht="28.5" x14ac:dyDescent="0.25">
      <c r="A81" s="11" t="s">
        <v>314</v>
      </c>
      <c r="B81" s="11" t="s">
        <v>174</v>
      </c>
      <c r="C81" s="11" t="s">
        <v>343</v>
      </c>
      <c r="D81" s="12" t="s">
        <v>344</v>
      </c>
      <c r="E81" s="13" t="s">
        <v>345</v>
      </c>
      <c r="F81" s="13" t="s">
        <v>346</v>
      </c>
      <c r="G81" s="14" t="str">
        <f>IF(TRIM(tblDocuments[[#This Row],[Scope]] &amp; "") = "", "(Unspecified)", TRIM(tblDocuments[[#This Row],[Scope]] &amp; ""))</f>
        <v>Backup &amp; DR</v>
      </c>
      <c r="H81" s="14">
        <f>SUBTOTAL(103, tblDocuments[[#This Row],[Scope Group]])</f>
        <v>1</v>
      </c>
      <c r="I8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backup dr policy backup retention and restore testing policy policy defining backup retention periods by data classification and the mandatory restore testing cadence retention policy restore testing classification cadence </v>
      </c>
      <c r="J8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backup retention and restore testing policy retention policy restore testing classification cadence policy backup dr </v>
      </c>
      <c r="K8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1" s="14">
        <f>IF(ScopeOverride = 1, 1, tblDocuments[[#This Row],[Visible]] * --(((TRIM(SelScope &amp; "") = "") + (TRIM(SelScope &amp; "") = "All") + (tblDocuments[[#This Row],[Scope Group]] = TRIM(SelScope &amp; ""))) &gt; 0))</f>
        <v>1</v>
      </c>
      <c r="N81" s="14">
        <f>IF(tblDocuments[[#This Row],[In Scope]] * IF(TermCount = 0, 1, IF(BestHits &gt; 0, --(tblDocuments[[#This Row],[Hits]] = BestHits), 0)) = 1, tblDocuments[[#This Row],[Score]] * 2000000 + (2000000 - ROW()), -1)</f>
        <v>1999919</v>
      </c>
      <c r="O81" s="14" t="str">
        <f>IF(TRIM(tblDocuments[[#This Row],[Document Name]] &amp; "") = "", "(untitled document)", TRIM(tblDocuments[[#This Row],[Document Name]] &amp; "")) &amp; IF(LEFT(LOWER(TRIM(tblDocuments[[#This Row],[Document Link]] &amp; "")), 4) = "http", "", "   (no link)")</f>
        <v>Backup Retention and Restore Testing Policy</v>
      </c>
      <c r="P81" t="str">
        <f>IF(LEFT(LOWER(TRIM(tblDocuments[[#This Row],[Document Link]] &amp; "")), 4) = "http", TRIM(tblDocuments[[#This Row],[Document Link]] &amp; ""), "")</f>
        <v>https://contoso.sharepoint.com/sites/AVSProgram/Shared%20Documents/BackupDR/Backup-Retention-and-Restore-Testing-Policy.docx</v>
      </c>
    </row>
    <row r="82" spans="1:16" ht="28.5" x14ac:dyDescent="0.25">
      <c r="A82" s="11" t="s">
        <v>314</v>
      </c>
      <c r="B82" s="11" t="s">
        <v>51</v>
      </c>
      <c r="C82" s="11" t="s">
        <v>347</v>
      </c>
      <c r="D82" s="12" t="s">
        <v>348</v>
      </c>
      <c r="E82" s="13" t="s">
        <v>349</v>
      </c>
      <c r="F82" s="13" t="s">
        <v>350</v>
      </c>
      <c r="G82" s="14" t="str">
        <f>IF(TRIM(tblDocuments[[#This Row],[Scope]] &amp; "") = "", "(Unspecified)", TRIM(tblDocuments[[#This Row],[Scope]] &amp; ""))</f>
        <v>Backup &amp; DR</v>
      </c>
      <c r="H82" s="14">
        <f>SUBTOTAL(103, tblDocuments[[#This Row],[Scope Group]])</f>
        <v>1</v>
      </c>
      <c r="I8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backup dr guide azure site recovery for avs workloads using azure site recovery to protect avs hosted workloads into an azure native recovery target asr azure site recovery replication protection recovery </v>
      </c>
      <c r="J8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azure site recovery for avs workloads asr azure site recovery replication protection recovery guide backup dr </v>
      </c>
      <c r="K8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2" s="14">
        <f>IF(ScopeOverride = 1, 1, tblDocuments[[#This Row],[Visible]] * --(((TRIM(SelScope &amp; "") = "") + (TRIM(SelScope &amp; "") = "All") + (tblDocuments[[#This Row],[Scope Group]] = TRIM(SelScope &amp; ""))) &gt; 0))</f>
        <v>1</v>
      </c>
      <c r="N82" s="14">
        <f>IF(tblDocuments[[#This Row],[In Scope]] * IF(TermCount = 0, 1, IF(BestHits &gt; 0, --(tblDocuments[[#This Row],[Hits]] = BestHits), 0)) = 1, tblDocuments[[#This Row],[Score]] * 2000000 + (2000000 - ROW()), -1)</f>
        <v>1999918</v>
      </c>
      <c r="O82" s="14" t="str">
        <f>IF(TRIM(tblDocuments[[#This Row],[Document Name]] &amp; "") = "", "(untitled document)", TRIM(tblDocuments[[#This Row],[Document Name]] &amp; "")) &amp; IF(LEFT(LOWER(TRIM(tblDocuments[[#This Row],[Document Link]] &amp; "")), 4) = "http", "", "   (no link)")</f>
        <v>Azure Site Recovery for AVS Workloads</v>
      </c>
      <c r="P82" t="str">
        <f>IF(LEFT(LOWER(TRIM(tblDocuments[[#This Row],[Document Link]] &amp; "")), 4) = "http", TRIM(tblDocuments[[#This Row],[Document Link]] &amp; ""), "")</f>
        <v>https://contoso.sharepoint.com/sites/AVSProgram/Shared%20Documents/BackupDR/Azure-Site-Recovery-for-AVS-Workloads.docx</v>
      </c>
    </row>
    <row r="83" spans="1:16" ht="28.5" x14ac:dyDescent="0.25">
      <c r="A83" s="11" t="s">
        <v>351</v>
      </c>
      <c r="B83" s="11" t="s">
        <v>51</v>
      </c>
      <c r="C83" s="11" t="s">
        <v>352</v>
      </c>
      <c r="D83" s="12" t="s">
        <v>353</v>
      </c>
      <c r="E83" s="13" t="s">
        <v>354</v>
      </c>
      <c r="F83" s="13" t="s">
        <v>355</v>
      </c>
      <c r="G83" s="14" t="str">
        <f>IF(TRIM(tblDocuments[[#This Row],[Scope]] &amp; "") = "", "(Unspecified)", TRIM(tblDocuments[[#This Row],[Scope]] &amp; ""))</f>
        <v>Identity</v>
      </c>
      <c r="H83" s="14">
        <f>SUBTOTAL(103, tblDocuments[[#This Row],[Scope Group]])</f>
        <v>1</v>
      </c>
      <c r="I8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identity guide vcenter identity source configuration configuring external identity sources for vcenter single sign on including ldaps to corporate directories vcenter identity source sso ldaps directory authentication </v>
      </c>
      <c r="J8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vcenter identity source configuration vcenter identity source sso ldaps directory authentication guide identity </v>
      </c>
      <c r="K8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3" s="14">
        <f>IF(ScopeOverride = 1, 1, tblDocuments[[#This Row],[Visible]] * --(((TRIM(SelScope &amp; "") = "") + (TRIM(SelScope &amp; "") = "All") + (tblDocuments[[#This Row],[Scope Group]] = TRIM(SelScope &amp; ""))) &gt; 0))</f>
        <v>1</v>
      </c>
      <c r="N83" s="14">
        <f>IF(tblDocuments[[#This Row],[In Scope]] * IF(TermCount = 0, 1, IF(BestHits &gt; 0, --(tblDocuments[[#This Row],[Hits]] = BestHits), 0)) = 1, tblDocuments[[#This Row],[Score]] * 2000000 + (2000000 - ROW()), -1)</f>
        <v>1999917</v>
      </c>
      <c r="O83" s="14" t="str">
        <f>IF(TRIM(tblDocuments[[#This Row],[Document Name]] &amp; "") = "", "(untitled document)", TRIM(tblDocuments[[#This Row],[Document Name]] &amp; "")) &amp; IF(LEFT(LOWER(TRIM(tblDocuments[[#This Row],[Document Link]] &amp; "")), 4) = "http", "", "   (no link)")</f>
        <v>vCenter Identity Source Configuration</v>
      </c>
      <c r="P83" t="str">
        <f>IF(LEFT(LOWER(TRIM(tblDocuments[[#This Row],[Document Link]] &amp; "")), 4) = "http", TRIM(tblDocuments[[#This Row],[Document Link]] &amp; ""), "")</f>
        <v>https://contoso.sharepoint.com/sites/AVSProgram/Shared%20Documents/Identity/vCenter-Identity-Source-Configuration.docx</v>
      </c>
    </row>
    <row r="84" spans="1:16" ht="28.5" x14ac:dyDescent="0.25">
      <c r="A84" s="11" t="s">
        <v>351</v>
      </c>
      <c r="B84" s="11" t="s">
        <v>26</v>
      </c>
      <c r="C84" s="11" t="s">
        <v>356</v>
      </c>
      <c r="D84" s="12" t="s">
        <v>357</v>
      </c>
      <c r="E84" s="13" t="s">
        <v>358</v>
      </c>
      <c r="F84" s="13" t="s">
        <v>359</v>
      </c>
      <c r="G84" s="14" t="str">
        <f>IF(TRIM(tblDocuments[[#This Row],[Scope]] &amp; "") = "", "(Unspecified)", TRIM(tblDocuments[[#This Row],[Scope]] &amp; ""))</f>
        <v>Identity</v>
      </c>
      <c r="H84" s="14">
        <f>SUBTOTAL(103, tblDocuments[[#This Row],[Scope Group]])</f>
        <v>1</v>
      </c>
      <c r="I8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identity architecture entra id integration architecture how microsoft entra id entra domain services and vcenter sso integrate to provide identity for the avs estate entra id azure ad sso domain services identity federation </v>
      </c>
      <c r="J8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entra id integration architecture entra id azure ad sso domain services identity federation architecture identity </v>
      </c>
      <c r="K84"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4"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4" s="14">
        <f>IF(ScopeOverride = 1, 1, tblDocuments[[#This Row],[Visible]] * --(((TRIM(SelScope &amp; "") = "") + (TRIM(SelScope &amp; "") = "All") + (tblDocuments[[#This Row],[Scope Group]] = TRIM(SelScope &amp; ""))) &gt; 0))</f>
        <v>1</v>
      </c>
      <c r="N84" s="14">
        <f>IF(tblDocuments[[#This Row],[In Scope]] * IF(TermCount = 0, 1, IF(BestHits &gt; 0, --(tblDocuments[[#This Row],[Hits]] = BestHits), 0)) = 1, tblDocuments[[#This Row],[Score]] * 2000000 + (2000000 - ROW()), -1)</f>
        <v>1999916</v>
      </c>
      <c r="O84" s="14" t="str">
        <f>IF(TRIM(tblDocuments[[#This Row],[Document Name]] &amp; "") = "", "(untitled document)", TRIM(tblDocuments[[#This Row],[Document Name]] &amp; "")) &amp; IF(LEFT(LOWER(TRIM(tblDocuments[[#This Row],[Document Link]] &amp; "")), 4) = "http", "", "   (no link)")</f>
        <v>Entra ID Integration Architecture</v>
      </c>
      <c r="P84" t="str">
        <f>IF(LEFT(LOWER(TRIM(tblDocuments[[#This Row],[Document Link]] &amp; "")), 4) = "http", TRIM(tblDocuments[[#This Row],[Document Link]] &amp; ""), "")</f>
        <v>https://contoso.sharepoint.com/sites/AVSProgram/Shared%20Documents/Identity/Entra-ID-Integration-Architecture.docx</v>
      </c>
    </row>
    <row r="85" spans="1:16" ht="28.5" x14ac:dyDescent="0.25">
      <c r="A85" s="11" t="s">
        <v>351</v>
      </c>
      <c r="B85" s="11" t="s">
        <v>174</v>
      </c>
      <c r="C85" s="11" t="s">
        <v>360</v>
      </c>
      <c r="D85" s="12" t="s">
        <v>361</v>
      </c>
      <c r="E85" s="13" t="s">
        <v>362</v>
      </c>
      <c r="F85" s="13" t="s">
        <v>363</v>
      </c>
      <c r="G85" s="14" t="str">
        <f>IF(TRIM(tblDocuments[[#This Row],[Scope]] &amp; "") = "", "(Unspecified)", TRIM(tblDocuments[[#This Row],[Scope]] &amp; ""))</f>
        <v>Identity</v>
      </c>
      <c r="H85" s="14">
        <f>SUBTOTAL(103, tblDocuments[[#This Row],[Scope Group]])</f>
        <v>1</v>
      </c>
      <c r="I8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identity policy role based access control model rbac model defining roles permissions and separation of duties across vcenter nsx t and the azure control plane rbac roles permissions separation of duties access </v>
      </c>
      <c r="J8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role based access control model rbac roles permissions separation of duties access policy identity </v>
      </c>
      <c r="K8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5" s="14">
        <f>IF(ScopeOverride = 1, 1, tblDocuments[[#This Row],[Visible]] * --(((TRIM(SelScope &amp; "") = "") + (TRIM(SelScope &amp; "") = "All") + (tblDocuments[[#This Row],[Scope Group]] = TRIM(SelScope &amp; ""))) &gt; 0))</f>
        <v>1</v>
      </c>
      <c r="N85" s="14">
        <f>IF(tblDocuments[[#This Row],[In Scope]] * IF(TermCount = 0, 1, IF(BestHits &gt; 0, --(tblDocuments[[#This Row],[Hits]] = BestHits), 0)) = 1, tblDocuments[[#This Row],[Score]] * 2000000 + (2000000 - ROW()), -1)</f>
        <v>1999915</v>
      </c>
      <c r="O85" s="14" t="str">
        <f>IF(TRIM(tblDocuments[[#This Row],[Document Name]] &amp; "") = "", "(untitled document)", TRIM(tblDocuments[[#This Row],[Document Name]] &amp; "")) &amp; IF(LEFT(LOWER(TRIM(tblDocuments[[#This Row],[Document Link]] &amp; "")), 4) = "http", "", "   (no link)")</f>
        <v>Role Based Access Control Model</v>
      </c>
      <c r="P85" t="str">
        <f>IF(LEFT(LOWER(TRIM(tblDocuments[[#This Row],[Document Link]] &amp; "")), 4) = "http", TRIM(tblDocuments[[#This Row],[Document Link]] &amp; ""), "")</f>
        <v>https://contoso.sharepoint.com/sites/AVSProgram/Shared%20Documents/Identity/Role-Based-Access-Control-Model.docx</v>
      </c>
    </row>
    <row r="86" spans="1:16" ht="28.5" x14ac:dyDescent="0.25">
      <c r="A86" s="11" t="s">
        <v>351</v>
      </c>
      <c r="B86" s="11" t="s">
        <v>107</v>
      </c>
      <c r="C86" s="11" t="s">
        <v>364</v>
      </c>
      <c r="D86" s="12" t="s">
        <v>365</v>
      </c>
      <c r="E86" s="13" t="s">
        <v>366</v>
      </c>
      <c r="F86" s="13" t="s">
        <v>367</v>
      </c>
      <c r="G86" s="14" t="str">
        <f>IF(TRIM(tblDocuments[[#This Row],[Scope]] &amp; "") = "", "(Unspecified)", TRIM(tblDocuments[[#This Row],[Scope]] &amp; ""))</f>
        <v>Identity</v>
      </c>
      <c r="H86" s="14">
        <f>SUBTOTAL(103, tblDocuments[[#This Row],[Scope Group]])</f>
        <v>1</v>
      </c>
      <c r="I8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identity sop cloudadmin account management procedure procedure for managing the built in cloudadmin account rotating credentials and delegating permissions cloudadmin credentials rotation delegation privileged </v>
      </c>
      <c r="J8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cloudadmin account management procedure cloudadmin credentials rotation delegation privileged sop identity </v>
      </c>
      <c r="K8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6" s="14">
        <f>IF(ScopeOverride = 1, 1, tblDocuments[[#This Row],[Visible]] * --(((TRIM(SelScope &amp; "") = "") + (TRIM(SelScope &amp; "") = "All") + (tblDocuments[[#This Row],[Scope Group]] = TRIM(SelScope &amp; ""))) &gt; 0))</f>
        <v>1</v>
      </c>
      <c r="N86" s="14">
        <f>IF(tblDocuments[[#This Row],[In Scope]] * IF(TermCount = 0, 1, IF(BestHits &gt; 0, --(tblDocuments[[#This Row],[Hits]] = BestHits), 0)) = 1, tblDocuments[[#This Row],[Score]] * 2000000 + (2000000 - ROW()), -1)</f>
        <v>1999914</v>
      </c>
      <c r="O86" s="14" t="str">
        <f>IF(TRIM(tblDocuments[[#This Row],[Document Name]] &amp; "") = "", "(untitled document)", TRIM(tblDocuments[[#This Row],[Document Name]] &amp; "")) &amp; IF(LEFT(LOWER(TRIM(tblDocuments[[#This Row],[Document Link]] &amp; "")), 4) = "http", "", "   (no link)")</f>
        <v>CloudAdmin Account Management Procedure</v>
      </c>
      <c r="P86" t="str">
        <f>IF(LEFT(LOWER(TRIM(tblDocuments[[#This Row],[Document Link]] &amp; "")), 4) = "http", TRIM(tblDocuments[[#This Row],[Document Link]] &amp; ""), "")</f>
        <v>https://contoso.sharepoint.com/sites/AVSProgram/Shared%20Documents/Identity/CloudAdmin-Account-Management-Procedure.docx</v>
      </c>
    </row>
    <row r="87" spans="1:16" ht="28.5" x14ac:dyDescent="0.25">
      <c r="A87" s="11" t="s">
        <v>351</v>
      </c>
      <c r="B87" s="11" t="s">
        <v>51</v>
      </c>
      <c r="C87" s="11" t="s">
        <v>368</v>
      </c>
      <c r="D87" s="12" t="s">
        <v>369</v>
      </c>
      <c r="E87" s="13" t="s">
        <v>370</v>
      </c>
      <c r="F87" s="13" t="s">
        <v>371</v>
      </c>
      <c r="G87" s="14" t="str">
        <f>IF(TRIM(tblDocuments[[#This Row],[Scope]] &amp; "") = "", "(Unspecified)", TRIM(tblDocuments[[#This Row],[Scope]] &amp; ""))</f>
        <v>Identity</v>
      </c>
      <c r="H87" s="14">
        <f>SUBTOTAL(103, tblDocuments[[#This Row],[Scope Group]])</f>
        <v>1</v>
      </c>
      <c r="I8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identity guide multi factor authentication rollout guide rollout guide for enforcing mfa on all administrative access paths into the avs platform mfa multi factor conditional access authentication rollout </v>
      </c>
      <c r="J8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multi factor authentication rollout guide mfa multi factor conditional access authentication rollout guide identity </v>
      </c>
      <c r="K8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7" s="14">
        <f>IF(ScopeOverride = 1, 1, tblDocuments[[#This Row],[Visible]] * --(((TRIM(SelScope &amp; "") = "") + (TRIM(SelScope &amp; "") = "All") + (tblDocuments[[#This Row],[Scope Group]] = TRIM(SelScope &amp; ""))) &gt; 0))</f>
        <v>1</v>
      </c>
      <c r="N87" s="14">
        <f>IF(tblDocuments[[#This Row],[In Scope]] * IF(TermCount = 0, 1, IF(BestHits &gt; 0, --(tblDocuments[[#This Row],[Hits]] = BestHits), 0)) = 1, tblDocuments[[#This Row],[Score]] * 2000000 + (2000000 - ROW()), -1)</f>
        <v>1999913</v>
      </c>
      <c r="O87" s="14" t="str">
        <f>IF(TRIM(tblDocuments[[#This Row],[Document Name]] &amp; "") = "", "(untitled document)", TRIM(tblDocuments[[#This Row],[Document Name]] &amp; "")) &amp; IF(LEFT(LOWER(TRIM(tblDocuments[[#This Row],[Document Link]] &amp; "")), 4) = "http", "", "   (no link)")</f>
        <v>Multi Factor Authentication Rollout Guide</v>
      </c>
      <c r="P87" t="str">
        <f>IF(LEFT(LOWER(TRIM(tblDocuments[[#This Row],[Document Link]] &amp; "")), 4) = "http", TRIM(tblDocuments[[#This Row],[Document Link]] &amp; ""), "")</f>
        <v>https://contoso.sharepoint.com/sites/AVSProgram/Shared%20Documents/Identity/Multi-Factor-Authentication-Rollout-Guide.docx</v>
      </c>
    </row>
    <row r="88" spans="1:16" ht="28.5" x14ac:dyDescent="0.25">
      <c r="A88" s="11" t="s">
        <v>351</v>
      </c>
      <c r="B88" s="11" t="s">
        <v>89</v>
      </c>
      <c r="C88" s="11" t="s">
        <v>372</v>
      </c>
      <c r="D88" s="12" t="s">
        <v>373</v>
      </c>
      <c r="E88" s="13" t="s">
        <v>374</v>
      </c>
      <c r="F88" s="13" t="s">
        <v>375</v>
      </c>
      <c r="G88" s="14" t="str">
        <f>IF(TRIM(tblDocuments[[#This Row],[Scope]] &amp; "") = "", "(Unspecified)", TRIM(tblDocuments[[#This Row],[Scope]] &amp; ""))</f>
        <v>Identity</v>
      </c>
      <c r="H88" s="14">
        <f>SUBTOTAL(103, tblDocuments[[#This Row],[Scope Group]])</f>
        <v>1</v>
      </c>
      <c r="I8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identity checklist joiner mover leaver checklist for platform access access provisioning and revocation checklist for staff joining moving within or leaving the platform team jml joiner mover leaver access revocation offboarding </v>
      </c>
      <c r="J8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joiner mover leaver checklist for platform access jml joiner mover leaver access revocation offboarding checklist identity </v>
      </c>
      <c r="K8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8" s="14">
        <f>IF(ScopeOverride = 1, 1, tblDocuments[[#This Row],[Visible]] * --(((TRIM(SelScope &amp; "") = "") + (TRIM(SelScope &amp; "") = "All") + (tblDocuments[[#This Row],[Scope Group]] = TRIM(SelScope &amp; ""))) &gt; 0))</f>
        <v>1</v>
      </c>
      <c r="N88" s="14">
        <f>IF(tblDocuments[[#This Row],[In Scope]] * IF(TermCount = 0, 1, IF(BestHits &gt; 0, --(tblDocuments[[#This Row],[Hits]] = BestHits), 0)) = 1, tblDocuments[[#This Row],[Score]] * 2000000 + (2000000 - ROW()), -1)</f>
        <v>1999912</v>
      </c>
      <c r="O88" s="14" t="str">
        <f>IF(TRIM(tblDocuments[[#This Row],[Document Name]] &amp; "") = "", "(untitled document)", TRIM(tblDocuments[[#This Row],[Document Name]] &amp; "")) &amp; IF(LEFT(LOWER(TRIM(tblDocuments[[#This Row],[Document Link]] &amp; "")), 4) = "http", "", "   (no link)")</f>
        <v>Joiner Mover Leaver Checklist for Platform Access</v>
      </c>
      <c r="P88" t="str">
        <f>IF(LEFT(LOWER(TRIM(tblDocuments[[#This Row],[Document Link]] &amp; "")), 4) = "http", TRIM(tblDocuments[[#This Row],[Document Link]] &amp; ""), "")</f>
        <v>https://contoso.sharepoint.com/sites/AVSProgram/Shared%20Documents/Identity/Joiner-Mover-Leaver-Checklist-for-Platform-Access.xlsx</v>
      </c>
    </row>
    <row r="89" spans="1:16" ht="28.5" x14ac:dyDescent="0.25">
      <c r="A89" s="11" t="s">
        <v>376</v>
      </c>
      <c r="B89" s="11" t="s">
        <v>174</v>
      </c>
      <c r="C89" s="11" t="s">
        <v>377</v>
      </c>
      <c r="D89" s="12" t="s">
        <v>378</v>
      </c>
      <c r="E89" s="13" t="s">
        <v>379</v>
      </c>
      <c r="F89" s="13" t="s">
        <v>380</v>
      </c>
      <c r="G89" s="14" t="str">
        <f>IF(TRIM(tblDocuments[[#This Row],[Scope]] &amp; "") = "", "(Unspecified)", TRIM(tblDocuments[[#This Row],[Scope]] &amp; ""))</f>
        <v>Governance</v>
      </c>
      <c r="H89" s="14">
        <f>SUBTOTAL(103, tblDocuments[[#This Row],[Scope Group]])</f>
        <v>1</v>
      </c>
      <c r="I8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governance policy avs governance framework governance framework describing the operating model decision forums raci and policy hierarchy for avs governance framework raci operating model forums </v>
      </c>
      <c r="J8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governance framework governance framework raci operating model forums policy governance </v>
      </c>
      <c r="K8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8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89" s="14">
        <f>IF(ScopeOverride = 1, 1, tblDocuments[[#This Row],[Visible]] * --(((TRIM(SelScope &amp; "") = "") + (TRIM(SelScope &amp; "") = "All") + (tblDocuments[[#This Row],[Scope Group]] = TRIM(SelScope &amp; ""))) &gt; 0))</f>
        <v>1</v>
      </c>
      <c r="N89" s="14">
        <f>IF(tblDocuments[[#This Row],[In Scope]] * IF(TermCount = 0, 1, IF(BestHits &gt; 0, --(tblDocuments[[#This Row],[Hits]] = BestHits), 0)) = 1, tblDocuments[[#This Row],[Score]] * 2000000 + (2000000 - ROW()), -1)</f>
        <v>1999911</v>
      </c>
      <c r="O89" s="14" t="str">
        <f>IF(TRIM(tblDocuments[[#This Row],[Document Name]] &amp; "") = "", "(untitled document)", TRIM(tblDocuments[[#This Row],[Document Name]] &amp; "")) &amp; IF(LEFT(LOWER(TRIM(tblDocuments[[#This Row],[Document Link]] &amp; "")), 4) = "http", "", "   (no link)")</f>
        <v>AVS Governance Framework</v>
      </c>
      <c r="P89" t="str">
        <f>IF(LEFT(LOWER(TRIM(tblDocuments[[#This Row],[Document Link]] &amp; "")), 4) = "http", TRIM(tblDocuments[[#This Row],[Document Link]] &amp; ""), "")</f>
        <v>https://contoso.sharepoint.com/sites/AVSProgram/Shared%20Documents/Governance/AVS-Governance-Framework.docx</v>
      </c>
    </row>
    <row r="90" spans="1:16" ht="28.5" x14ac:dyDescent="0.25">
      <c r="A90" s="11" t="s">
        <v>376</v>
      </c>
      <c r="B90" s="11" t="s">
        <v>51</v>
      </c>
      <c r="C90" s="11" t="s">
        <v>381</v>
      </c>
      <c r="D90" s="12" t="s">
        <v>382</v>
      </c>
      <c r="E90" s="13" t="s">
        <v>383</v>
      </c>
      <c r="F90" s="13" t="s">
        <v>384</v>
      </c>
      <c r="G90" s="14" t="str">
        <f>IF(TRIM(tblDocuments[[#This Row],[Scope]] &amp; "") = "", "(Unspecified)", TRIM(tblDocuments[[#This Row],[Scope]] &amp; ""))</f>
        <v>Governance</v>
      </c>
      <c r="H90" s="14">
        <f>SUBTOTAL(103, tblDocuments[[#This Row],[Scope Group]])</f>
        <v>1</v>
      </c>
      <c r="I9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governance guide azure policy and compliance guardrails guardrails applied through azure policy to the subscriptions hosting avs and how exemptions are approved azure policy guardrails compliance exemption initiative </v>
      </c>
      <c r="J9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azure policy and compliance guardrails azure policy guardrails compliance exemption initiative guide governance </v>
      </c>
      <c r="K9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0" s="14">
        <f>IF(ScopeOverride = 1, 1, tblDocuments[[#This Row],[Visible]] * --(((TRIM(SelScope &amp; "") = "") + (TRIM(SelScope &amp; "") = "All") + (tblDocuments[[#This Row],[Scope Group]] = TRIM(SelScope &amp; ""))) &gt; 0))</f>
        <v>1</v>
      </c>
      <c r="N90" s="14">
        <f>IF(tblDocuments[[#This Row],[In Scope]] * IF(TermCount = 0, 1, IF(BestHits &gt; 0, --(tblDocuments[[#This Row],[Hits]] = BestHits), 0)) = 1, tblDocuments[[#This Row],[Score]] * 2000000 + (2000000 - ROW()), -1)</f>
        <v>1999910</v>
      </c>
      <c r="O90" s="14" t="str">
        <f>IF(TRIM(tblDocuments[[#This Row],[Document Name]] &amp; "") = "", "(untitled document)", TRIM(tblDocuments[[#This Row],[Document Name]] &amp; "")) &amp; IF(LEFT(LOWER(TRIM(tblDocuments[[#This Row],[Document Link]] &amp; "")), 4) = "http", "", "   (no link)")</f>
        <v>Azure Policy and Compliance Guardrails</v>
      </c>
      <c r="P90" t="str">
        <f>IF(LEFT(LOWER(TRIM(tblDocuments[[#This Row],[Document Link]] &amp; "")), 4) = "http", TRIM(tblDocuments[[#This Row],[Document Link]] &amp; ""), "")</f>
        <v>https://contoso.sharepoint.com/sites/AVSProgram/Shared%20Documents/Governance/Azure-Policy-and-Compliance-Guardrails.docx</v>
      </c>
    </row>
    <row r="91" spans="1:16" ht="28.5" x14ac:dyDescent="0.25">
      <c r="A91" s="11" t="s">
        <v>376</v>
      </c>
      <c r="B91" s="11" t="s">
        <v>65</v>
      </c>
      <c r="C91" s="11" t="s">
        <v>385</v>
      </c>
      <c r="D91" s="12" t="s">
        <v>386</v>
      </c>
      <c r="E91" s="13" t="s">
        <v>387</v>
      </c>
      <c r="F91" s="13" t="s">
        <v>388</v>
      </c>
      <c r="G91" s="14" t="str">
        <f>IF(TRIM(tblDocuments[[#This Row],[Scope]] &amp; "") = "", "(Unspecified)", TRIM(tblDocuments[[#This Row],[Scope]] &amp; ""))</f>
        <v>Governance</v>
      </c>
      <c r="H91" s="14">
        <f>SUBTOTAL(103, tblDocuments[[#This Row],[Scope Group]])</f>
        <v>1</v>
      </c>
      <c r="I9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governance report quarterly compliance attestation report quarterly attestation evidencing control effectiveness for the avs platform against the internal control set compliance attestation controls quarterly evidence audit </v>
      </c>
      <c r="J9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quarterly compliance attestation report compliance attestation controls quarterly evidence audit report governance </v>
      </c>
      <c r="K9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1" s="14">
        <f>IF(ScopeOverride = 1, 1, tblDocuments[[#This Row],[Visible]] * --(((TRIM(SelScope &amp; "") = "") + (TRIM(SelScope &amp; "") = "All") + (tblDocuments[[#This Row],[Scope Group]] = TRIM(SelScope &amp; ""))) &gt; 0))</f>
        <v>1</v>
      </c>
      <c r="N91" s="14">
        <f>IF(tblDocuments[[#This Row],[In Scope]] * IF(TermCount = 0, 1, IF(BestHits &gt; 0, --(tblDocuments[[#This Row],[Hits]] = BestHits), 0)) = 1, tblDocuments[[#This Row],[Score]] * 2000000 + (2000000 - ROW()), -1)</f>
        <v>1999909</v>
      </c>
      <c r="O91" s="14" t="str">
        <f>IF(TRIM(tblDocuments[[#This Row],[Document Name]] &amp; "") = "", "(untitled document)", TRIM(tblDocuments[[#This Row],[Document Name]] &amp; "")) &amp; IF(LEFT(LOWER(TRIM(tblDocuments[[#This Row],[Document Link]] &amp; "")), 4) = "http", "", "   (no link)")</f>
        <v>Quarterly Compliance Attestation Report</v>
      </c>
      <c r="P91" t="str">
        <f>IF(LEFT(LOWER(TRIM(tblDocuments[[#This Row],[Document Link]] &amp; "")), 4) = "http", TRIM(tblDocuments[[#This Row],[Document Link]] &amp; ""), "")</f>
        <v>https://contoso.sharepoint.com/sites/AVSProgram/Shared%20Documents/Governance/Quarterly-Compliance-Attestation-Report.pdf</v>
      </c>
    </row>
    <row r="92" spans="1:16" ht="28.5" x14ac:dyDescent="0.25">
      <c r="A92" s="11" t="s">
        <v>376</v>
      </c>
      <c r="B92" s="11" t="s">
        <v>174</v>
      </c>
      <c r="C92" s="11" t="s">
        <v>389</v>
      </c>
      <c r="D92" s="12" t="s">
        <v>390</v>
      </c>
      <c r="E92" s="13" t="s">
        <v>391</v>
      </c>
      <c r="F92" s="13" t="s">
        <v>392</v>
      </c>
      <c r="G92" s="14" t="str">
        <f>IF(TRIM(tblDocuments[[#This Row],[Scope]] &amp; "") = "", "(Unspecified)", TRIM(tblDocuments[[#This Row],[Scope]] &amp; ""))</f>
        <v>Governance</v>
      </c>
      <c r="H92" s="14">
        <f>SUBTOTAL(103, tblDocuments[[#This Row],[Scope Group]])</f>
        <v>1</v>
      </c>
      <c r="I9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governance policy data residency and sovereignty standard standard defining permitted regions for avs workloads based on data classification and residency requirements data residency sovereignty region classification standard </v>
      </c>
      <c r="J9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data residency and sovereignty standard data residency sovereignty region classification standard policy governance </v>
      </c>
      <c r="K9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2" s="14">
        <f>IF(ScopeOverride = 1, 1, tblDocuments[[#This Row],[Visible]] * --(((TRIM(SelScope &amp; "") = "") + (TRIM(SelScope &amp; "") = "All") + (tblDocuments[[#This Row],[Scope Group]] = TRIM(SelScope &amp; ""))) &gt; 0))</f>
        <v>1</v>
      </c>
      <c r="N92" s="14">
        <f>IF(tblDocuments[[#This Row],[In Scope]] * IF(TermCount = 0, 1, IF(BestHits &gt; 0, --(tblDocuments[[#This Row],[Hits]] = BestHits), 0)) = 1, tblDocuments[[#This Row],[Score]] * 2000000 + (2000000 - ROW()), -1)</f>
        <v>1999908</v>
      </c>
      <c r="O92" s="14" t="str">
        <f>IF(TRIM(tblDocuments[[#This Row],[Document Name]] &amp; "") = "", "(untitled document)", TRIM(tblDocuments[[#This Row],[Document Name]] &amp; "")) &amp; IF(LEFT(LOWER(TRIM(tblDocuments[[#This Row],[Document Link]] &amp; "")), 4) = "http", "", "   (no link)")</f>
        <v>Data Residency and Sovereignty Standard</v>
      </c>
      <c r="P92" t="str">
        <f>IF(LEFT(LOWER(TRIM(tblDocuments[[#This Row],[Document Link]] &amp; "")), 4) = "http", TRIM(tblDocuments[[#This Row],[Document Link]] &amp; ""), "")</f>
        <v>https://contoso.sharepoint.com/sites/AVSProgram/Shared%20Documents/Governance/Data-Residency-and-Sovereignty-Standard.docx</v>
      </c>
    </row>
    <row r="93" spans="1:16" ht="28.5" x14ac:dyDescent="0.25">
      <c r="A93" s="11" t="s">
        <v>376</v>
      </c>
      <c r="B93" s="11" t="s">
        <v>60</v>
      </c>
      <c r="C93" s="11" t="s">
        <v>393</v>
      </c>
      <c r="D93" s="12" t="s">
        <v>394</v>
      </c>
      <c r="E93" s="13" t="s">
        <v>395</v>
      </c>
      <c r="F93" s="13" t="s">
        <v>396</v>
      </c>
      <c r="G93" s="14" t="str">
        <f>IF(TRIM(tblDocuments[[#This Row],[Scope]] &amp; "") = "", "(Unspecified)", TRIM(tblDocuments[[#This Row],[Scope]] &amp; ""))</f>
        <v>Governance</v>
      </c>
      <c r="H93" s="14">
        <f>SUBTOTAL(103, tblDocuments[[#This Row],[Scope Group]])</f>
        <v>1</v>
      </c>
      <c r="I9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governance template risk and issue register template template for the programme risk and issue register including scoring matrix and escalation thresholds risk issue register template raid scoring </v>
      </c>
      <c r="J9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risk and issue register template risk issue register template raid scoring template governance </v>
      </c>
      <c r="K9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3" s="14">
        <f>IF(ScopeOverride = 1, 1, tblDocuments[[#This Row],[Visible]] * --(((TRIM(SelScope &amp; "") = "") + (TRIM(SelScope &amp; "") = "All") + (tblDocuments[[#This Row],[Scope Group]] = TRIM(SelScope &amp; ""))) &gt; 0))</f>
        <v>1</v>
      </c>
      <c r="N93" s="14">
        <f>IF(tblDocuments[[#This Row],[In Scope]] * IF(TermCount = 0, 1, IF(BestHits &gt; 0, --(tblDocuments[[#This Row],[Hits]] = BestHits), 0)) = 1, tblDocuments[[#This Row],[Score]] * 2000000 + (2000000 - ROW()), -1)</f>
        <v>1999907</v>
      </c>
      <c r="O93" s="14" t="str">
        <f>IF(TRIM(tblDocuments[[#This Row],[Document Name]] &amp; "") = "", "(untitled document)", TRIM(tblDocuments[[#This Row],[Document Name]] &amp; "")) &amp; IF(LEFT(LOWER(TRIM(tblDocuments[[#This Row],[Document Link]] &amp; "")), 4) = "http", "", "   (no link)")</f>
        <v>Risk and Issue Register Template</v>
      </c>
      <c r="P93" t="str">
        <f>IF(LEFT(LOWER(TRIM(tblDocuments[[#This Row],[Document Link]] &amp; "")), 4) = "http", TRIM(tblDocuments[[#This Row],[Document Link]] &amp; ""), "")</f>
        <v>https://contoso.sharepoint.com/sites/AVSProgram/Shared%20Documents/Governance/Risk-and-Issue-Register-Template.xlsx</v>
      </c>
    </row>
    <row r="94" spans="1:16" ht="28.5" x14ac:dyDescent="0.25">
      <c r="A94" s="11" t="s">
        <v>376</v>
      </c>
      <c r="B94" s="11" t="s">
        <v>41</v>
      </c>
      <c r="C94" s="11" t="s">
        <v>397</v>
      </c>
      <c r="D94" s="12" t="s">
        <v>398</v>
      </c>
      <c r="E94" s="13" t="s">
        <v>399</v>
      </c>
      <c r="F94" s="13" t="s">
        <v>400</v>
      </c>
      <c r="G94" s="14" t="str">
        <f>IF(TRIM(tblDocuments[[#This Row],[Scope]] &amp; "") = "", "(Unspecified)", TRIM(tblDocuments[[#This Row],[Scope]] &amp; ""))</f>
        <v>Governance</v>
      </c>
      <c r="H94" s="14">
        <f>SUBTOTAL(103, tblDocuments[[#This Row],[Scope Group]])</f>
        <v>1</v>
      </c>
      <c r="I9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governance assessment regulatory impact assessment for avs assessment of regulatory obligations applicable to workloads being moved into azure vmware solution regulatory impact assessment obligations dora compliance </v>
      </c>
      <c r="J9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regulatory impact assessment for avs regulatory impact assessment obligations dora compliance assessment governance </v>
      </c>
      <c r="K94"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4"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4" s="14">
        <f>IF(ScopeOverride = 1, 1, tblDocuments[[#This Row],[Visible]] * --(((TRIM(SelScope &amp; "") = "") + (TRIM(SelScope &amp; "") = "All") + (tblDocuments[[#This Row],[Scope Group]] = TRIM(SelScope &amp; ""))) &gt; 0))</f>
        <v>1</v>
      </c>
      <c r="N94" s="14">
        <f>IF(tblDocuments[[#This Row],[In Scope]] * IF(TermCount = 0, 1, IF(BestHits &gt; 0, --(tblDocuments[[#This Row],[Hits]] = BestHits), 0)) = 1, tblDocuments[[#This Row],[Score]] * 2000000 + (2000000 - ROW()), -1)</f>
        <v>1999906</v>
      </c>
      <c r="O94" s="14" t="str">
        <f>IF(TRIM(tblDocuments[[#This Row],[Document Name]] &amp; "") = "", "(untitled document)", TRIM(tblDocuments[[#This Row],[Document Name]] &amp; "")) &amp; IF(LEFT(LOWER(TRIM(tblDocuments[[#This Row],[Document Link]] &amp; "")), 4) = "http", "", "   (no link)")</f>
        <v>Regulatory Impact Assessment for AVS</v>
      </c>
      <c r="P94" t="str">
        <f>IF(LEFT(LOWER(TRIM(tblDocuments[[#This Row],[Document Link]] &amp; "")), 4) = "http", TRIM(tblDocuments[[#This Row],[Document Link]] &amp; ""), "")</f>
        <v>https://contoso.sharepoint.com/sites/AVSProgram/Shared%20Documents/Governance/Regulatory-Impact-Assessment-for-AVS.docx</v>
      </c>
    </row>
    <row r="95" spans="1:16" ht="28.5" x14ac:dyDescent="0.25">
      <c r="A95" s="11" t="s">
        <v>376</v>
      </c>
      <c r="B95" s="11" t="s">
        <v>107</v>
      </c>
      <c r="C95" s="11" t="s">
        <v>401</v>
      </c>
      <c r="D95" s="12" t="s">
        <v>402</v>
      </c>
      <c r="E95" s="13" t="s">
        <v>403</v>
      </c>
      <c r="F95" s="13" t="s">
        <v>404</v>
      </c>
      <c r="G95" s="14" t="str">
        <f>IF(TRIM(tblDocuments[[#This Row],[Scope]] &amp; "") = "", "(Unspecified)", TRIM(tblDocuments[[#This Row],[Scope]] &amp; ""))</f>
        <v>Governance</v>
      </c>
      <c r="H95" s="14">
        <f>SUBTOTAL(103, tblDocuments[[#This Row],[Scope Group]])</f>
        <v>1</v>
      </c>
      <c r="I9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governance sop design authority submission procedure how to prepare and submit a design for review at the avs design authority including required artefacts design authority submission review governance artefacts </v>
      </c>
      <c r="J9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design authority submission procedure design authority submission review governance artefacts sop governance </v>
      </c>
      <c r="K9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5" s="14">
        <f>IF(ScopeOverride = 1, 1, tblDocuments[[#This Row],[Visible]] * --(((TRIM(SelScope &amp; "") = "") + (TRIM(SelScope &amp; "") = "All") + (tblDocuments[[#This Row],[Scope Group]] = TRIM(SelScope &amp; ""))) &gt; 0))</f>
        <v>1</v>
      </c>
      <c r="N95" s="14">
        <f>IF(tblDocuments[[#This Row],[In Scope]] * IF(TermCount = 0, 1, IF(BestHits &gt; 0, --(tblDocuments[[#This Row],[Hits]] = BestHits), 0)) = 1, tblDocuments[[#This Row],[Score]] * 2000000 + (2000000 - ROW()), -1)</f>
        <v>1999905</v>
      </c>
      <c r="O95" s="14" t="str">
        <f>IF(TRIM(tblDocuments[[#This Row],[Document Name]] &amp; "") = "", "(untitled document)", TRIM(tblDocuments[[#This Row],[Document Name]] &amp; "")) &amp; IF(LEFT(LOWER(TRIM(tblDocuments[[#This Row],[Document Link]] &amp; "")), 4) = "http", "", "   (no link)")</f>
        <v>Design Authority Submission Procedure</v>
      </c>
      <c r="P95" t="str">
        <f>IF(LEFT(LOWER(TRIM(tblDocuments[[#This Row],[Document Link]] &amp; "")), 4) = "http", TRIM(tblDocuments[[#This Row],[Document Link]] &amp; ""), "")</f>
        <v>https://contoso.sharepoint.com/sites/AVSProgram/Shared%20Documents/Governance/Design-Authority-Submission-Procedure.docx</v>
      </c>
    </row>
    <row r="96" spans="1:16" ht="28.5" x14ac:dyDescent="0.25">
      <c r="A96" s="11" t="s">
        <v>405</v>
      </c>
      <c r="B96" s="11" t="s">
        <v>65</v>
      </c>
      <c r="C96" s="11" t="s">
        <v>406</v>
      </c>
      <c r="D96" s="12" t="s">
        <v>407</v>
      </c>
      <c r="E96" s="13" t="s">
        <v>408</v>
      </c>
      <c r="F96" s="13" t="s">
        <v>409</v>
      </c>
      <c r="G96" s="14" t="str">
        <f>IF(TRIM(tblDocuments[[#This Row],[Scope]] &amp; "") = "", "(Unspecified)", TRIM(tblDocuments[[#This Row],[Scope]] &amp; ""))</f>
        <v>Cost</v>
      </c>
      <c r="H96" s="14">
        <f>SUBTOTAL(103, tblDocuments[[#This Row],[Scope Group]])</f>
        <v>1</v>
      </c>
      <c r="I9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cost report avs cost model and forecast cost model covering reserved instance coverage node run rate and a three year forecast for the avs estate cost forecast reserved instance ri run rate model </v>
      </c>
      <c r="J9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cost model and forecast cost forecast reserved instance ri run rate model report cost </v>
      </c>
      <c r="K9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6" s="14">
        <f>IF(ScopeOverride = 1, 1, tblDocuments[[#This Row],[Visible]] * --(((TRIM(SelScope &amp; "") = "") + (TRIM(SelScope &amp; "") = "All") + (tblDocuments[[#This Row],[Scope Group]] = TRIM(SelScope &amp; ""))) &gt; 0))</f>
        <v>1</v>
      </c>
      <c r="N96" s="14">
        <f>IF(tblDocuments[[#This Row],[In Scope]] * IF(TermCount = 0, 1, IF(BestHits &gt; 0, --(tblDocuments[[#This Row],[Hits]] = BestHits), 0)) = 1, tblDocuments[[#This Row],[Score]] * 2000000 + (2000000 - ROW()), -1)</f>
        <v>1999904</v>
      </c>
      <c r="O96" s="14" t="str">
        <f>IF(TRIM(tblDocuments[[#This Row],[Document Name]] &amp; "") = "", "(untitled document)", TRIM(tblDocuments[[#This Row],[Document Name]] &amp; "")) &amp; IF(LEFT(LOWER(TRIM(tblDocuments[[#This Row],[Document Link]] &amp; "")), 4) = "http", "", "   (no link)")</f>
        <v>AVS Cost Model and Forecast</v>
      </c>
      <c r="P96" t="str">
        <f>IF(LEFT(LOWER(TRIM(tblDocuments[[#This Row],[Document Link]] &amp; "")), 4) = "http", TRIM(tblDocuments[[#This Row],[Document Link]] &amp; ""), "")</f>
        <v>https://contoso.sharepoint.com/sites/AVSProgram/Shared%20Documents/Cost/AVS-Cost-Model-and-Forecast.xlsx</v>
      </c>
    </row>
    <row r="97" spans="1:16" ht="28.5" x14ac:dyDescent="0.25">
      <c r="A97" s="11" t="s">
        <v>405</v>
      </c>
      <c r="B97" s="11" t="s">
        <v>51</v>
      </c>
      <c r="C97" s="11" t="s">
        <v>410</v>
      </c>
      <c r="D97" s="12" t="s">
        <v>411</v>
      </c>
      <c r="E97" s="13" t="s">
        <v>412</v>
      </c>
      <c r="F97" s="13" t="s">
        <v>413</v>
      </c>
      <c r="G97" s="14" t="str">
        <f>IF(TRIM(tblDocuments[[#This Row],[Scope]] &amp; "") = "", "(Unspecified)", TRIM(tblDocuments[[#This Row],[Scope]] &amp; ""))</f>
        <v>Cost</v>
      </c>
      <c r="H97" s="14">
        <f>SUBTOTAL(103, tblDocuments[[#This Row],[Scope Group]])</f>
        <v>1</v>
      </c>
      <c r="I9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cost guide reserved instance purchasing guide guide to purchasing allocating and tracking reserved instances for avs nodes to reduce run cost reserved instance ri purchase discount commitment savings </v>
      </c>
      <c r="J9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reserved instance purchasing guide reserved instance ri purchase discount commitment savings guide cost </v>
      </c>
      <c r="K9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7" s="14">
        <f>IF(ScopeOverride = 1, 1, tblDocuments[[#This Row],[Visible]] * --(((TRIM(SelScope &amp; "") = "") + (TRIM(SelScope &amp; "") = "All") + (tblDocuments[[#This Row],[Scope Group]] = TRIM(SelScope &amp; ""))) &gt; 0))</f>
        <v>1</v>
      </c>
      <c r="N97" s="14">
        <f>IF(tblDocuments[[#This Row],[In Scope]] * IF(TermCount = 0, 1, IF(BestHits &gt; 0, --(tblDocuments[[#This Row],[Hits]] = BestHits), 0)) = 1, tblDocuments[[#This Row],[Score]] * 2000000 + (2000000 - ROW()), -1)</f>
        <v>1999903</v>
      </c>
      <c r="O97" s="14" t="str">
        <f>IF(TRIM(tblDocuments[[#This Row],[Document Name]] &amp; "") = "", "(untitled document)", TRIM(tblDocuments[[#This Row],[Document Name]] &amp; "")) &amp; IF(LEFT(LOWER(TRIM(tblDocuments[[#This Row],[Document Link]] &amp; "")), 4) = "http", "", "   (no link)")</f>
        <v>Reserved Instance Purchasing Guide</v>
      </c>
      <c r="P97" t="str">
        <f>IF(LEFT(LOWER(TRIM(tblDocuments[[#This Row],[Document Link]] &amp; "")), 4) = "http", TRIM(tblDocuments[[#This Row],[Document Link]] &amp; ""), "")</f>
        <v>https://contoso.sharepoint.com/sites/AVSProgram/Shared%20Documents/Cost/Reserved-Instance-Purchasing-Guide.docx</v>
      </c>
    </row>
    <row r="98" spans="1:16" ht="28.5" x14ac:dyDescent="0.25">
      <c r="A98" s="11" t="s">
        <v>405</v>
      </c>
      <c r="B98" s="11" t="s">
        <v>51</v>
      </c>
      <c r="C98" s="11" t="s">
        <v>414</v>
      </c>
      <c r="D98" s="12" t="s">
        <v>415</v>
      </c>
      <c r="E98" s="13" t="s">
        <v>416</v>
      </c>
      <c r="F98" s="13" t="s">
        <v>417</v>
      </c>
      <c r="G98" s="14" t="str">
        <f>IF(TRIM(tblDocuments[[#This Row],[Scope]] &amp; "") = "", "(Unspecified)", TRIM(tblDocuments[[#This Row],[Scope]] &amp; ""))</f>
        <v>Cost</v>
      </c>
      <c r="H98" s="14">
        <f>SUBTOTAL(103, tblDocuments[[#This Row],[Scope Group]])</f>
        <v>1</v>
      </c>
      <c r="I9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cost guide cost allocation and showback guide how avs platform cost is allocated to consuming business units and presented through showback reporting cost allocation showback chargeback business unit tagging </v>
      </c>
      <c r="J9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cost allocation and showback guide cost allocation showback chargeback business unit tagging guide cost </v>
      </c>
      <c r="K9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8" s="14">
        <f>IF(ScopeOverride = 1, 1, tblDocuments[[#This Row],[Visible]] * --(((TRIM(SelScope &amp; "") = "") + (TRIM(SelScope &amp; "") = "All") + (tblDocuments[[#This Row],[Scope Group]] = TRIM(SelScope &amp; ""))) &gt; 0))</f>
        <v>1</v>
      </c>
      <c r="N98" s="14">
        <f>IF(tblDocuments[[#This Row],[In Scope]] * IF(TermCount = 0, 1, IF(BestHits &gt; 0, --(tblDocuments[[#This Row],[Hits]] = BestHits), 0)) = 1, tblDocuments[[#This Row],[Score]] * 2000000 + (2000000 - ROW()), -1)</f>
        <v>1999902</v>
      </c>
      <c r="O98" s="14" t="str">
        <f>IF(TRIM(tblDocuments[[#This Row],[Document Name]] &amp; "") = "", "(untitled document)", TRIM(tblDocuments[[#This Row],[Document Name]] &amp; "")) &amp; IF(LEFT(LOWER(TRIM(tblDocuments[[#This Row],[Document Link]] &amp; "")), 4) = "http", "", "   (no link)")</f>
        <v>Cost Allocation and Showback Guide</v>
      </c>
      <c r="P98" t="str">
        <f>IF(LEFT(LOWER(TRIM(tblDocuments[[#This Row],[Document Link]] &amp; "")), 4) = "http", TRIM(tblDocuments[[#This Row],[Document Link]] &amp; ""), "")</f>
        <v>https://contoso.sharepoint.com/sites/AVSProgram/Shared%20Documents/Cost/Cost-Allocation-and-Showback-Guide.docx</v>
      </c>
    </row>
    <row r="99" spans="1:16" ht="28.5" x14ac:dyDescent="0.25">
      <c r="A99" s="11" t="s">
        <v>405</v>
      </c>
      <c r="B99" s="11" t="s">
        <v>65</v>
      </c>
      <c r="C99" s="11" t="s">
        <v>418</v>
      </c>
      <c r="D99" s="12" t="s">
        <v>419</v>
      </c>
      <c r="E99" s="13" t="s">
        <v>420</v>
      </c>
      <c r="F99" s="13" t="s">
        <v>421</v>
      </c>
      <c r="G99" s="14" t="str">
        <f>IF(TRIM(tblDocuments[[#This Row],[Scope]] &amp; "") = "", "(Unspecified)", TRIM(tblDocuments[[#This Row],[Scope]] &amp; ""))</f>
        <v>Cost</v>
      </c>
      <c r="H99" s="14">
        <f>SUBTOTAL(103, tblDocuments[[#This Row],[Scope Group]])</f>
        <v>1</v>
      </c>
      <c r="I9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cost report monthly cost variance report monthly analysis of actual versus forecast avs spend with commentary on material variances cost variance monthly spend forecast analysis </v>
      </c>
      <c r="J9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monthly cost variance report cost variance monthly spend forecast analysis report cost </v>
      </c>
      <c r="K9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9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99" s="14">
        <f>IF(ScopeOverride = 1, 1, tblDocuments[[#This Row],[Visible]] * --(((TRIM(SelScope &amp; "") = "") + (TRIM(SelScope &amp; "") = "All") + (tblDocuments[[#This Row],[Scope Group]] = TRIM(SelScope &amp; ""))) &gt; 0))</f>
        <v>1</v>
      </c>
      <c r="N99" s="14">
        <f>IF(tblDocuments[[#This Row],[In Scope]] * IF(TermCount = 0, 1, IF(BestHits &gt; 0, --(tblDocuments[[#This Row],[Hits]] = BestHits), 0)) = 1, tblDocuments[[#This Row],[Score]] * 2000000 + (2000000 - ROW()), -1)</f>
        <v>1999901</v>
      </c>
      <c r="O99" s="14" t="str">
        <f>IF(TRIM(tblDocuments[[#This Row],[Document Name]] &amp; "") = "", "(untitled document)", TRIM(tblDocuments[[#This Row],[Document Name]] &amp; "")) &amp; IF(LEFT(LOWER(TRIM(tblDocuments[[#This Row],[Document Link]] &amp; "")), 4) = "http", "", "   (no link)")</f>
        <v>Monthly Cost Variance Report</v>
      </c>
      <c r="P99" t="str">
        <f>IF(LEFT(LOWER(TRIM(tblDocuments[[#This Row],[Document Link]] &amp; "")), 4) = "http", TRIM(tblDocuments[[#This Row],[Document Link]] &amp; ""), "")</f>
        <v>https://contoso.sharepoint.com/sites/AVSProgram/Shared%20Documents/Cost/Monthly-Cost-Variance-Report.xlsx</v>
      </c>
    </row>
    <row r="100" spans="1:16" ht="28.5" x14ac:dyDescent="0.25">
      <c r="A100" s="11" t="s">
        <v>405</v>
      </c>
      <c r="B100" s="11" t="s">
        <v>51</v>
      </c>
      <c r="C100" s="11" t="s">
        <v>422</v>
      </c>
      <c r="D100" s="12" t="s">
        <v>423</v>
      </c>
      <c r="E100" s="13" t="s">
        <v>424</v>
      </c>
      <c r="F100" s="13" t="s">
        <v>425</v>
      </c>
      <c r="G100" s="14" t="str">
        <f>IF(TRIM(tblDocuments[[#This Row],[Scope]] &amp; "") = "", "(Unspecified)", TRIM(tblDocuments[[#This Row],[Scope]] &amp; ""))</f>
        <v>Cost</v>
      </c>
      <c r="H100" s="14">
        <f>SUBTOTAL(103, tblDocuments[[#This Row],[Scope Group]])</f>
        <v>1</v>
      </c>
      <c r="I10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cost guide right sizing and optimisation playbook playbook of optimisation levers for the avs estate including right sizing power management and storage tiering optimisation right sizing savings efficiency playbook </v>
      </c>
      <c r="J10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right sizing and optimisation playbook optimisation right sizing savings efficiency playbook guide cost </v>
      </c>
      <c r="K10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0" s="14">
        <f>IF(ScopeOverride = 1, 1, tblDocuments[[#This Row],[Visible]] * --(((TRIM(SelScope &amp; "") = "") + (TRIM(SelScope &amp; "") = "All") + (tblDocuments[[#This Row],[Scope Group]] = TRIM(SelScope &amp; ""))) &gt; 0))</f>
        <v>1</v>
      </c>
      <c r="N100" s="14">
        <f>IF(tblDocuments[[#This Row],[In Scope]] * IF(TermCount = 0, 1, IF(BestHits &gt; 0, --(tblDocuments[[#This Row],[Hits]] = BestHits), 0)) = 1, tblDocuments[[#This Row],[Score]] * 2000000 + (2000000 - ROW()), -1)</f>
        <v>1999900</v>
      </c>
      <c r="O100" s="14" t="str">
        <f>IF(TRIM(tblDocuments[[#This Row],[Document Name]] &amp; "") = "", "(untitled document)", TRIM(tblDocuments[[#This Row],[Document Name]] &amp; "")) &amp; IF(LEFT(LOWER(TRIM(tblDocuments[[#This Row],[Document Link]] &amp; "")), 4) = "http", "", "   (no link)")</f>
        <v>Right Sizing and Optimisation Playbook</v>
      </c>
      <c r="P100" t="str">
        <f>IF(LEFT(LOWER(TRIM(tblDocuments[[#This Row],[Document Link]] &amp; "")), 4) = "http", TRIM(tblDocuments[[#This Row],[Document Link]] &amp; ""), "")</f>
        <v>https://contoso.sharepoint.com/sites/AVSProgram/Shared%20Documents/Cost/Right-Sizing-and-Optimisation-Playbook.docx</v>
      </c>
    </row>
    <row r="101" spans="1:16" ht="28.5" x14ac:dyDescent="0.25">
      <c r="A101" s="11" t="s">
        <v>426</v>
      </c>
      <c r="B101" s="11" t="s">
        <v>51</v>
      </c>
      <c r="C101" s="11" t="s">
        <v>427</v>
      </c>
      <c r="D101" s="12" t="s">
        <v>428</v>
      </c>
      <c r="E101" s="13" t="s">
        <v>429</v>
      </c>
      <c r="F101" s="13" t="s">
        <v>430</v>
      </c>
      <c r="G101" s="14" t="str">
        <f>IF(TRIM(tblDocuments[[#This Row],[Scope]] &amp; "") = "", "(Unspecified)", TRIM(tblDocuments[[#This Row],[Scope]] &amp; ""))</f>
        <v>Training</v>
      </c>
      <c r="H101" s="14">
        <f>SUBTOTAL(103, tblDocuments[[#This Row],[Scope Group]])</f>
        <v>1</v>
      </c>
      <c r="I10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training guide avs platform onboarding guide for new engineers onboarding guide for engineers joining the platform team covering access tooling and the first 30 days onboarding training new starter access tooling </v>
      </c>
      <c r="J10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platform onboarding guide for new engineers onboarding training new starter access tooling guide training </v>
      </c>
      <c r="K10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1" s="14">
        <f>IF(ScopeOverride = 1, 1, tblDocuments[[#This Row],[Visible]] * --(((TRIM(SelScope &amp; "") = "") + (TRIM(SelScope &amp; "") = "All") + (tblDocuments[[#This Row],[Scope Group]] = TRIM(SelScope &amp; ""))) &gt; 0))</f>
        <v>1</v>
      </c>
      <c r="N101" s="14">
        <f>IF(tblDocuments[[#This Row],[In Scope]] * IF(TermCount = 0, 1, IF(BestHits &gt; 0, --(tblDocuments[[#This Row],[Hits]] = BestHits), 0)) = 1, tblDocuments[[#This Row],[Score]] * 2000000 + (2000000 - ROW()), -1)</f>
        <v>1999899</v>
      </c>
      <c r="O101" s="14" t="str">
        <f>IF(TRIM(tblDocuments[[#This Row],[Document Name]] &amp; "") = "", "(untitled document)", TRIM(tblDocuments[[#This Row],[Document Name]] &amp; "")) &amp; IF(LEFT(LOWER(TRIM(tblDocuments[[#This Row],[Document Link]] &amp; "")), 4) = "http", "", "   (no link)")</f>
        <v>AVS Platform Onboarding Guide for New Engineers</v>
      </c>
      <c r="P101" t="str">
        <f>IF(LEFT(LOWER(TRIM(tblDocuments[[#This Row],[Document Link]] &amp; "")), 4) = "http", TRIM(tblDocuments[[#This Row],[Document Link]] &amp; ""), "")</f>
        <v>https://contoso.sharepoint.com/sites/AVSProgram/Shared%20Documents/Training/AVS-Platform-Onboarding-Guide-for-New-Engineers.docx</v>
      </c>
    </row>
    <row r="102" spans="1:16" ht="28.5" x14ac:dyDescent="0.25">
      <c r="A102" s="11" t="s">
        <v>426</v>
      </c>
      <c r="B102" s="11" t="s">
        <v>426</v>
      </c>
      <c r="C102" s="11" t="s">
        <v>431</v>
      </c>
      <c r="D102" s="12" t="s">
        <v>432</v>
      </c>
      <c r="E102" s="13" t="s">
        <v>433</v>
      </c>
      <c r="F102" s="13" t="s">
        <v>434</v>
      </c>
      <c r="G102" s="14" t="str">
        <f>IF(TRIM(tblDocuments[[#This Row],[Scope]] &amp; "") = "", "(Unspecified)", TRIM(tblDocuments[[#This Row],[Scope]] &amp; ""))</f>
        <v>Training</v>
      </c>
      <c r="H102" s="14">
        <f>SUBTOTAL(103, tblDocuments[[#This Row],[Scope Group]])</f>
        <v>1</v>
      </c>
      <c r="I10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training training vsphere fundamentals training deck internal training deck covering vsphere fundamentals for engineers new to vmware technologies training vsphere fundamentals deck vmware basics </v>
      </c>
      <c r="J10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vsphere fundamentals training deck training vsphere fundamentals deck vmware basics training training </v>
      </c>
      <c r="K10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2" s="14">
        <f>IF(ScopeOverride = 1, 1, tblDocuments[[#This Row],[Visible]] * --(((TRIM(SelScope &amp; "") = "") + (TRIM(SelScope &amp; "") = "All") + (tblDocuments[[#This Row],[Scope Group]] = TRIM(SelScope &amp; ""))) &gt; 0))</f>
        <v>1</v>
      </c>
      <c r="N102" s="14">
        <f>IF(tblDocuments[[#This Row],[In Scope]] * IF(TermCount = 0, 1, IF(BestHits &gt; 0, --(tblDocuments[[#This Row],[Hits]] = BestHits), 0)) = 1, tblDocuments[[#This Row],[Score]] * 2000000 + (2000000 - ROW()), -1)</f>
        <v>1999898</v>
      </c>
      <c r="O102" s="14" t="str">
        <f>IF(TRIM(tblDocuments[[#This Row],[Document Name]] &amp; "") = "", "(untitled document)", TRIM(tblDocuments[[#This Row],[Document Name]] &amp; "")) &amp; IF(LEFT(LOWER(TRIM(tblDocuments[[#This Row],[Document Link]] &amp; "")), 4) = "http", "", "   (no link)")</f>
        <v>vSphere Fundamentals Training Deck</v>
      </c>
      <c r="P102" t="str">
        <f>IF(LEFT(LOWER(TRIM(tblDocuments[[#This Row],[Document Link]] &amp; "")), 4) = "http", TRIM(tblDocuments[[#This Row],[Document Link]] &amp; ""), "")</f>
        <v>https://contoso.sharepoint.com/sites/AVSProgram/Shared%20Documents/Training/vSphere-Fundamentals-Training-Deck.pptx</v>
      </c>
    </row>
    <row r="103" spans="1:16" ht="28.5" x14ac:dyDescent="0.25">
      <c r="A103" s="11" t="s">
        <v>426</v>
      </c>
      <c r="B103" s="11" t="s">
        <v>426</v>
      </c>
      <c r="C103" s="11" t="s">
        <v>435</v>
      </c>
      <c r="D103" s="12" t="s">
        <v>436</v>
      </c>
      <c r="E103" s="13" t="s">
        <v>437</v>
      </c>
      <c r="F103" s="13" t="s">
        <v>438</v>
      </c>
      <c r="G103" s="14" t="str">
        <f>IF(TRIM(tblDocuments[[#This Row],[Scope]] &amp; "") = "", "(Unspecified)", TRIM(tblDocuments[[#This Row],[Scope]] &amp; ""))</f>
        <v>Training</v>
      </c>
      <c r="H103" s="14">
        <f>SUBTOTAL(103, tblDocuments[[#This Row],[Scope Group]])</f>
        <v>1</v>
      </c>
      <c r="I10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training training nsx t operations training deck training deck covering day two nsx t operations common tasks and troubleshooting techniques training nsx t operations day two troubleshooting </v>
      </c>
      <c r="J10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nsx t operations training deck training nsx t operations day two troubleshooting training training </v>
      </c>
      <c r="K10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3" s="14">
        <f>IF(ScopeOverride = 1, 1, tblDocuments[[#This Row],[Visible]] * --(((TRIM(SelScope &amp; "") = "") + (TRIM(SelScope &amp; "") = "All") + (tblDocuments[[#This Row],[Scope Group]] = TRIM(SelScope &amp; ""))) &gt; 0))</f>
        <v>1</v>
      </c>
      <c r="N103" s="14">
        <f>IF(tblDocuments[[#This Row],[In Scope]] * IF(TermCount = 0, 1, IF(BestHits &gt; 0, --(tblDocuments[[#This Row],[Hits]] = BestHits), 0)) = 1, tblDocuments[[#This Row],[Score]] * 2000000 + (2000000 - ROW()), -1)</f>
        <v>1999897</v>
      </c>
      <c r="O103" s="14" t="str">
        <f>IF(TRIM(tblDocuments[[#This Row],[Document Name]] &amp; "") = "", "(untitled document)", TRIM(tblDocuments[[#This Row],[Document Name]] &amp; "")) &amp; IF(LEFT(LOWER(TRIM(tblDocuments[[#This Row],[Document Link]] &amp; "")), 4) = "http", "", "   (no link)")</f>
        <v>NSX-T Operations Training Deck</v>
      </c>
      <c r="P103" t="str">
        <f>IF(LEFT(LOWER(TRIM(tblDocuments[[#This Row],[Document Link]] &amp; "")), 4) = "http", TRIM(tblDocuments[[#This Row],[Document Link]] &amp; ""), "")</f>
        <v>https://contoso.sharepoint.com/sites/AVSProgram/Shared%20Documents/Training/NSX-T-Operations-Training-Deck.pptx</v>
      </c>
    </row>
    <row r="104" spans="1:16" ht="28.5" x14ac:dyDescent="0.25">
      <c r="A104" s="11" t="s">
        <v>426</v>
      </c>
      <c r="B104" s="11" t="s">
        <v>120</v>
      </c>
      <c r="C104" s="11" t="s">
        <v>439</v>
      </c>
      <c r="D104" s="12" t="s">
        <v>440</v>
      </c>
      <c r="E104" s="13" t="s">
        <v>441</v>
      </c>
      <c r="F104" s="13" t="s">
        <v>442</v>
      </c>
      <c r="G104" s="14" t="str">
        <f>IF(TRIM(tblDocuments[[#This Row],[Scope]] &amp; "") = "", "(Unspecified)", TRIM(tblDocuments[[#This Row],[Scope]] &amp; ""))</f>
        <v>Training</v>
      </c>
      <c r="H104" s="14">
        <f>SUBTOTAL(103, tblDocuments[[#This Row],[Scope Group]])</f>
        <v>1</v>
      </c>
      <c r="I10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training faq avs frequently asked questions general faq about azure vmware solution aimed at internal stakeholders and application teams faq questions stakeholders overview general </v>
      </c>
      <c r="J104"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frequently asked questions faq questions stakeholders overview general faq training </v>
      </c>
      <c r="K104"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4"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4" s="14">
        <f>IF(ScopeOverride = 1, 1, tblDocuments[[#This Row],[Visible]] * --(((TRIM(SelScope &amp; "") = "") + (TRIM(SelScope &amp; "") = "All") + (tblDocuments[[#This Row],[Scope Group]] = TRIM(SelScope &amp; ""))) &gt; 0))</f>
        <v>1</v>
      </c>
      <c r="N104" s="14">
        <f>IF(tblDocuments[[#This Row],[In Scope]] * IF(TermCount = 0, 1, IF(BestHits &gt; 0, --(tblDocuments[[#This Row],[Hits]] = BestHits), 0)) = 1, tblDocuments[[#This Row],[Score]] * 2000000 + (2000000 - ROW()), -1)</f>
        <v>1999896</v>
      </c>
      <c r="O104" s="14" t="str">
        <f>IF(TRIM(tblDocuments[[#This Row],[Document Name]] &amp; "") = "", "(untitled document)", TRIM(tblDocuments[[#This Row],[Document Name]] &amp; "")) &amp; IF(LEFT(LOWER(TRIM(tblDocuments[[#This Row],[Document Link]] &amp; "")), 4) = "http", "", "   (no link)")</f>
        <v>AVS Frequently Asked Questions</v>
      </c>
      <c r="P104" t="str">
        <f>IF(LEFT(LOWER(TRIM(tblDocuments[[#This Row],[Document Link]] &amp; "")), 4) = "http", TRIM(tblDocuments[[#This Row],[Document Link]] &amp; ""), "")</f>
        <v>https://contoso.sharepoint.com/sites/AVSProgram/Shared%20Documents/Training/AVS-Frequently-Asked-Questions.docx</v>
      </c>
    </row>
    <row r="105" spans="1:16" ht="28.5" x14ac:dyDescent="0.25">
      <c r="A105" s="11" t="s">
        <v>426</v>
      </c>
      <c r="B105" s="11" t="s">
        <v>51</v>
      </c>
      <c r="C105" s="11" t="s">
        <v>443</v>
      </c>
      <c r="D105" s="12" t="s">
        <v>444</v>
      </c>
      <c r="E105" s="13" t="s">
        <v>445</v>
      </c>
      <c r="F105" s="13" t="s">
        <v>446</v>
      </c>
      <c r="G105" s="14" t="str">
        <f>IF(TRIM(tblDocuments[[#This Row],[Scope]] &amp; "") = "", "(Unspecified)", TRIM(tblDocuments[[#This Row],[Scope]] &amp; ""))</f>
        <v>Training</v>
      </c>
      <c r="H105" s="14">
        <f>SUBTOTAL(103, tblDocuments[[#This Row],[Scope Group]])</f>
        <v>1</v>
      </c>
      <c r="I10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training guide glossary of avs and vmware terminology glossary of acronyms and terminology used across the avs programme documentation set glossary terminology acronyms definitions reference </v>
      </c>
      <c r="J105"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glossary of avs and vmware terminology glossary terminology acronyms definitions reference guide training </v>
      </c>
      <c r="K105"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5"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5" s="14">
        <f>IF(ScopeOverride = 1, 1, tblDocuments[[#This Row],[Visible]] * --(((TRIM(SelScope &amp; "") = "") + (TRIM(SelScope &amp; "") = "All") + (tblDocuments[[#This Row],[Scope Group]] = TRIM(SelScope &amp; ""))) &gt; 0))</f>
        <v>1</v>
      </c>
      <c r="N105" s="14">
        <f>IF(tblDocuments[[#This Row],[In Scope]] * IF(TermCount = 0, 1, IF(BestHits &gt; 0, --(tblDocuments[[#This Row],[Hits]] = BestHits), 0)) = 1, tblDocuments[[#This Row],[Score]] * 2000000 + (2000000 - ROW()), -1)</f>
        <v>1999895</v>
      </c>
      <c r="O105" s="14" t="str">
        <f>IF(TRIM(tblDocuments[[#This Row],[Document Name]] &amp; "") = "", "(untitled document)", TRIM(tblDocuments[[#This Row],[Document Name]] &amp; "")) &amp; IF(LEFT(LOWER(TRIM(tblDocuments[[#This Row],[Document Link]] &amp; "")), 4) = "http", "", "   (no link)")</f>
        <v>Glossary of AVS and VMware Terminology</v>
      </c>
      <c r="P105" t="str">
        <f>IF(LEFT(LOWER(TRIM(tblDocuments[[#This Row],[Document Link]] &amp; "")), 4) = "http", TRIM(tblDocuments[[#This Row],[Document Link]] &amp; ""), "")</f>
        <v>https://contoso.sharepoint.com/sites/AVSProgram/Shared%20Documents/Training/Glossary-of-AVS-and-VMware-Terminology.docx</v>
      </c>
    </row>
    <row r="106" spans="1:16" ht="28.5" x14ac:dyDescent="0.25">
      <c r="A106" s="11" t="s">
        <v>447</v>
      </c>
      <c r="B106" s="11" t="s">
        <v>51</v>
      </c>
      <c r="C106" s="11" t="s">
        <v>448</v>
      </c>
      <c r="D106" s="12" t="s">
        <v>449</v>
      </c>
      <c r="E106" s="13" t="s">
        <v>450</v>
      </c>
      <c r="F106" s="13" t="s">
        <v>451</v>
      </c>
      <c r="G106" s="14" t="str">
        <f>IF(TRIM(tblDocuments[[#This Row],[Scope]] &amp; "") = "", "(Unspecified)", TRIM(tblDocuments[[#This Row],[Scope]] &amp; ""))</f>
        <v>(Unspecified)</v>
      </c>
      <c r="H106" s="14">
        <f>SUBTOTAL(103, tblDocuments[[#This Row],[Scope Group]])</f>
        <v>1</v>
      </c>
      <c r="I10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guide unfiled legacy platform notes historic notes inherited from the legacy platform team that have not yet been assigned to a scope legacy unfiled notes historic </v>
      </c>
      <c r="J106"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unfiled legacy platform notes legacy unfiled notes historic guide </v>
      </c>
      <c r="K106"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6"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6" s="14">
        <f>IF(ScopeOverride = 1, 1, tblDocuments[[#This Row],[Visible]] * --(((TRIM(SelScope &amp; "") = "") + (TRIM(SelScope &amp; "") = "All") + (tblDocuments[[#This Row],[Scope Group]] = TRIM(SelScope &amp; ""))) &gt; 0))</f>
        <v>1</v>
      </c>
      <c r="N106" s="14">
        <f>IF(tblDocuments[[#This Row],[In Scope]] * IF(TermCount = 0, 1, IF(BestHits &gt; 0, --(tblDocuments[[#This Row],[Hits]] = BestHits), 0)) = 1, tblDocuments[[#This Row],[Score]] * 2000000 + (2000000 - ROW()), -1)</f>
        <v>1999894</v>
      </c>
      <c r="O106" s="14" t="str">
        <f>IF(TRIM(tblDocuments[[#This Row],[Document Name]] &amp; "") = "", "(untitled document)", TRIM(tblDocuments[[#This Row],[Document Name]] &amp; "")) &amp; IF(LEFT(LOWER(TRIM(tblDocuments[[#This Row],[Document Link]] &amp; "")), 4) = "http", "", "   (no link)")</f>
        <v>Unfiled Legacy Platform Notes</v>
      </c>
      <c r="P106" t="str">
        <f>IF(LEFT(LOWER(TRIM(tblDocuments[[#This Row],[Document Link]] &amp; "")), 4) = "http", TRIM(tblDocuments[[#This Row],[Document Link]] &amp; ""), "")</f>
        <v>https://contoso.sharepoint.com/sites/AVSProgram/Shared%20Documents/Unfiled/Unfiled-Legacy-Platform-Notes.docx</v>
      </c>
    </row>
    <row r="107" spans="1:16" ht="28.5" x14ac:dyDescent="0.25">
      <c r="A107" s="11" t="s">
        <v>133</v>
      </c>
      <c r="B107" s="11" t="s">
        <v>51</v>
      </c>
      <c r="C107" s="11" t="s">
        <v>452</v>
      </c>
      <c r="D107" s="12" t="s">
        <v>453</v>
      </c>
      <c r="E107" s="13" t="s">
        <v>454</v>
      </c>
      <c r="F107" s="13" t="s">
        <v>447</v>
      </c>
      <c r="G107" s="14" t="str">
        <f>IF(TRIM(tblDocuments[[#This Row],[Scope]] &amp; "") = "", "(Unspecified)", TRIM(tblDocuments[[#This Row],[Scope]] &amp; ""))</f>
        <v>Network</v>
      </c>
      <c r="H107" s="14">
        <f>SUBTOTAL(103, tblDocuments[[#This Row],[Scope Group]])</f>
        <v>1</v>
      </c>
      <c r="I10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guide vlan to overlay migration notes working notes on moving remaining vlan backed port groups onto nsx t overlay segments </v>
      </c>
      <c r="J107"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vlan to overlay migration notes guide network </v>
      </c>
      <c r="K107"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7"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7" s="14">
        <f>IF(ScopeOverride = 1, 1, tblDocuments[[#This Row],[Visible]] * --(((TRIM(SelScope &amp; "") = "") + (TRIM(SelScope &amp; "") = "All") + (tblDocuments[[#This Row],[Scope Group]] = TRIM(SelScope &amp; ""))) &gt; 0))</f>
        <v>1</v>
      </c>
      <c r="N107" s="14">
        <f>IF(tblDocuments[[#This Row],[In Scope]] * IF(TermCount = 0, 1, IF(BestHits &gt; 0, --(tblDocuments[[#This Row],[Hits]] = BestHits), 0)) = 1, tblDocuments[[#This Row],[Score]] * 2000000 + (2000000 - ROW()), -1)</f>
        <v>1999893</v>
      </c>
      <c r="O107" s="14" t="str">
        <f>IF(TRIM(tblDocuments[[#This Row],[Document Name]] &amp; "") = "", "(untitled document)", TRIM(tblDocuments[[#This Row],[Document Name]] &amp; "")) &amp; IF(LEFT(LOWER(TRIM(tblDocuments[[#This Row],[Document Link]] &amp; "")), 4) = "http", "", "   (no link)")</f>
        <v>VLAN to Overlay Migration Notes</v>
      </c>
      <c r="P107" t="str">
        <f>IF(LEFT(LOWER(TRIM(tblDocuments[[#This Row],[Document Link]] &amp; "")), 4) = "http", TRIM(tblDocuments[[#This Row],[Document Link]] &amp; ""), "")</f>
        <v>https://contoso.sharepoint.com/sites/AVSProgram/Shared%20Documents/Network/VLAN-to-Overlay-Migration-Notes.docx</v>
      </c>
    </row>
    <row r="108" spans="1:16" x14ac:dyDescent="0.25">
      <c r="A108" s="11" t="s">
        <v>236</v>
      </c>
      <c r="B108" s="11" t="s">
        <v>76</v>
      </c>
      <c r="C108" s="11" t="s">
        <v>455</v>
      </c>
      <c r="D108" s="12" t="s">
        <v>456</v>
      </c>
      <c r="E108" s="13" t="s">
        <v>447</v>
      </c>
      <c r="F108" s="13" t="s">
        <v>457</v>
      </c>
      <c r="G108" s="14" t="str">
        <f>IF(TRIM(tblDocuments[[#This Row],[Scope]] &amp; "") = "", "(Unspecified)", TRIM(tblDocuments[[#This Row],[Scope]] &amp; ""))</f>
        <v>Operations</v>
      </c>
      <c r="H108" s="14">
        <f>SUBTOTAL(103, tblDocuments[[#This Row],[Scope Group]])</f>
        <v>1</v>
      </c>
      <c r="I10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operations runbook out of hours standby rota runbook standby rota out of hours on call escalation </v>
      </c>
      <c r="J108"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out of hours standby rota runbook standby rota out of hours on call escalation runbook operations </v>
      </c>
      <c r="K108"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8"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8" s="14">
        <f>IF(ScopeOverride = 1, 1, tblDocuments[[#This Row],[Visible]] * --(((TRIM(SelScope &amp; "") = "") + (TRIM(SelScope &amp; "") = "All") + (tblDocuments[[#This Row],[Scope Group]] = TRIM(SelScope &amp; ""))) &gt; 0))</f>
        <v>1</v>
      </c>
      <c r="N108" s="14">
        <f>IF(tblDocuments[[#This Row],[In Scope]] * IF(TermCount = 0, 1, IF(BestHits &gt; 0, --(tblDocuments[[#This Row],[Hits]] = BestHits), 0)) = 1, tblDocuments[[#This Row],[Score]] * 2000000 + (2000000 - ROW()), -1)</f>
        <v>1999892</v>
      </c>
      <c r="O108" s="14" t="str">
        <f>IF(TRIM(tblDocuments[[#This Row],[Document Name]] &amp; "") = "", "(untitled document)", TRIM(tblDocuments[[#This Row],[Document Name]] &amp; "")) &amp; IF(LEFT(LOWER(TRIM(tblDocuments[[#This Row],[Document Link]] &amp; "")), 4) = "http", "", "   (no link)")</f>
        <v>Out of Hours Standby Rota Runbook</v>
      </c>
      <c r="P108" t="str">
        <f>IF(LEFT(LOWER(TRIM(tblDocuments[[#This Row],[Document Link]] &amp; "")), 4) = "http", TRIM(tblDocuments[[#This Row],[Document Link]] &amp; ""), "")</f>
        <v>https://contoso.sharepoint.com/sites/AVSProgram/Shared%20Documents/Operations/Out-of-Hours-Standby-Rota-Runbook.docx</v>
      </c>
    </row>
    <row r="109" spans="1:16" x14ac:dyDescent="0.25">
      <c r="A109" s="11" t="s">
        <v>191</v>
      </c>
      <c r="B109" s="11" t="s">
        <v>447</v>
      </c>
      <c r="C109" s="11" t="s">
        <v>458</v>
      </c>
      <c r="D109" s="12" t="s">
        <v>459</v>
      </c>
      <c r="E109" s="13" t="s">
        <v>460</v>
      </c>
      <c r="F109" s="13" t="s">
        <v>461</v>
      </c>
      <c r="G109" s="14" t="str">
        <f>IF(TRIM(tblDocuments[[#This Row],[Scope]] &amp; "") = "", "(Unspecified)", TRIM(tblDocuments[[#This Row],[Scope]] &amp; ""))</f>
        <v>Security</v>
      </c>
      <c r="H109" s="14">
        <f>SUBTOTAL(103, tblDocuments[[#This Row],[Scope Group]])</f>
        <v>1</v>
      </c>
      <c r="I10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security key rotation schedule schedule of encryption key rotation dates and owners for the avs platform key rotation schedule encryption owners </v>
      </c>
      <c r="J109"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key rotation schedule key rotation schedule encryption owners security </v>
      </c>
      <c r="K109"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09"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09" s="14">
        <f>IF(ScopeOverride = 1, 1, tblDocuments[[#This Row],[Visible]] * --(((TRIM(SelScope &amp; "") = "") + (TRIM(SelScope &amp; "") = "All") + (tblDocuments[[#This Row],[Scope Group]] = TRIM(SelScope &amp; ""))) &gt; 0))</f>
        <v>1</v>
      </c>
      <c r="N109" s="14">
        <f>IF(tblDocuments[[#This Row],[In Scope]] * IF(TermCount = 0, 1, IF(BestHits &gt; 0, --(tblDocuments[[#This Row],[Hits]] = BestHits), 0)) = 1, tblDocuments[[#This Row],[Score]] * 2000000 + (2000000 - ROW()), -1)</f>
        <v>1999891</v>
      </c>
      <c r="O109" s="14" t="str">
        <f>IF(TRIM(tblDocuments[[#This Row],[Document Name]] &amp; "") = "", "(untitled document)", TRIM(tblDocuments[[#This Row],[Document Name]] &amp; "")) &amp; IF(LEFT(LOWER(TRIM(tblDocuments[[#This Row],[Document Link]] &amp; "")), 4) = "http", "", "   (no link)")</f>
        <v>Key Rotation Schedule</v>
      </c>
      <c r="P109" t="str">
        <f>IF(LEFT(LOWER(TRIM(tblDocuments[[#This Row],[Document Link]] &amp; "")), 4) = "http", TRIM(tblDocuments[[#This Row],[Document Link]] &amp; ""), "")</f>
        <v>https://contoso.sharepoint.com/sites/AVSProgram/Shared%20Documents/Security/Key-Rotation-Schedule.xlsx</v>
      </c>
    </row>
    <row r="110" spans="1:16" ht="28.5" x14ac:dyDescent="0.25">
      <c r="A110" s="11" t="s">
        <v>70</v>
      </c>
      <c r="B110" s="11" t="s">
        <v>94</v>
      </c>
      <c r="C110" s="11" t="s">
        <v>462</v>
      </c>
      <c r="D110" s="12" t="s">
        <v>447</v>
      </c>
      <c r="E110" s="13" t="s">
        <v>463</v>
      </c>
      <c r="F110" s="13" t="s">
        <v>464</v>
      </c>
      <c r="G110" s="14" t="str">
        <f>IF(TRIM(tblDocuments[[#This Row],[Scope]] &amp; "") = "", "(Unspecified)", TRIM(tblDocuments[[#This Row],[Scope]] &amp; ""))</f>
        <v>Migration</v>
      </c>
      <c r="H110" s="14">
        <f>SUBTOTAL(103, tblDocuments[[#This Row],[Scope Group]])</f>
        <v>1</v>
      </c>
      <c r="I11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migration plan wave 9 draft plan pending upload draft wave 9 plan still under review the final version has not yet been published to sharepoint wave 9 draft pending plan </v>
      </c>
      <c r="J110"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wave 9 draft plan pending upload wave 9 draft pending plan plan migration </v>
      </c>
      <c r="K110"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10"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10" s="14">
        <f>IF(ScopeOverride = 1, 1, tblDocuments[[#This Row],[Visible]] * --(((TRIM(SelScope &amp; "") = "") + (TRIM(SelScope &amp; "") = "All") + (tblDocuments[[#This Row],[Scope Group]] = TRIM(SelScope &amp; ""))) &gt; 0))</f>
        <v>1</v>
      </c>
      <c r="N110" s="14">
        <f>IF(tblDocuments[[#This Row],[In Scope]] * IF(TermCount = 0, 1, IF(BestHits &gt; 0, --(tblDocuments[[#This Row],[Hits]] = BestHits), 0)) = 1, tblDocuments[[#This Row],[Score]] * 2000000 + (2000000 - ROW()), -1)</f>
        <v>1999890</v>
      </c>
      <c r="O110" s="14" t="str">
        <f>IF(TRIM(tblDocuments[[#This Row],[Document Name]] &amp; "") = "", "(untitled document)", TRIM(tblDocuments[[#This Row],[Document Name]] &amp; "")) &amp; IF(LEFT(LOWER(TRIM(tblDocuments[[#This Row],[Document Link]] &amp; "")), 4) = "http", "", "   (no link)")</f>
        <v>Wave 9 Draft Plan (Pending Upload)   (no link)</v>
      </c>
      <c r="P110" t="str">
        <f>IF(LEFT(LOWER(TRIM(tblDocuments[[#This Row],[Document Link]] &amp; "")), 4) = "http", TRIM(tblDocuments[[#This Row],[Document Link]] &amp; ""), "")</f>
        <v/>
      </c>
    </row>
    <row r="111" spans="1:16" ht="28.5" x14ac:dyDescent="0.25">
      <c r="A111" s="11" t="s">
        <v>465</v>
      </c>
      <c r="B111" s="11" t="s">
        <v>466</v>
      </c>
      <c r="C111" s="11" t="s">
        <v>467</v>
      </c>
      <c r="D111" s="12" t="s">
        <v>468</v>
      </c>
      <c r="E111" s="13" t="s">
        <v>469</v>
      </c>
      <c r="F111" s="13" t="s">
        <v>470</v>
      </c>
      <c r="G111" s="14" t="str">
        <f>IF(TRIM(tblDocuments[[#This Row],[Scope]] &amp; "") = "", "(Unspecified)", TRIM(tblDocuments[[#This Row],[Scope]] &amp; ""))</f>
        <v>Network</v>
      </c>
      <c r="H111" s="14">
        <f>SUBTOTAL(103, tblDocuments[[#This Row],[Scope Group]])</f>
        <v>1</v>
      </c>
      <c r="I11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guide jumbo frames and mtu configuration guidance on mtu sizing across expressroute hcx network extension and nsx t overlay segments mtu jumbo frames mtu 9000 jumbo hcx expressroute </v>
      </c>
      <c r="J111"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jumbo frames and mtu configuration mtu jumbo frames mtu 9000 jumbo hcx expressroute guide network </v>
      </c>
      <c r="K111"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11"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11" s="14">
        <f>IF(ScopeOverride = 1, 1, tblDocuments[[#This Row],[Visible]] * --(((TRIM(SelScope &amp; "") = "") + (TRIM(SelScope &amp; "") = "All") + (tblDocuments[[#This Row],[Scope Group]] = TRIM(SelScope &amp; ""))) &gt; 0))</f>
        <v>1</v>
      </c>
      <c r="N111" s="14">
        <f>IF(tblDocuments[[#This Row],[In Scope]] * IF(TermCount = 0, 1, IF(BestHits &gt; 0, --(tblDocuments[[#This Row],[Hits]] = BestHits), 0)) = 1, tblDocuments[[#This Row],[Score]] * 2000000 + (2000000 - ROW()), -1)</f>
        <v>1999889</v>
      </c>
      <c r="O111" s="14" t="str">
        <f>IF(TRIM(tblDocuments[[#This Row],[Document Name]] &amp; "") = "", "(untitled document)", TRIM(tblDocuments[[#This Row],[Document Name]] &amp; "")) &amp; IF(LEFT(LOWER(TRIM(tblDocuments[[#This Row],[Document Link]] &amp; "")), 4) = "http", "", "   (no link)")</f>
        <v>Jumbo Frames and MTU Configuration</v>
      </c>
      <c r="P111" t="str">
        <f>IF(LEFT(LOWER(TRIM(tblDocuments[[#This Row],[Document Link]] &amp; "")), 4) = "http", TRIM(tblDocuments[[#This Row],[Document Link]] &amp; ""), "")</f>
        <v>https://contoso.sharepoint.com/sites/AVSProgram/Shared%20Documents/Network/Jumbo-Frames-and-MTU-Configuration.docx</v>
      </c>
    </row>
    <row r="112" spans="1:16" x14ac:dyDescent="0.25">
      <c r="A112" s="11" t="s">
        <v>15</v>
      </c>
      <c r="B112" s="11" t="s">
        <v>16</v>
      </c>
      <c r="C112" s="11" t="s">
        <v>17</v>
      </c>
      <c r="D112" s="12" t="s">
        <v>471</v>
      </c>
      <c r="E112" s="13" t="s">
        <v>472</v>
      </c>
      <c r="F112" s="13" t="s">
        <v>473</v>
      </c>
      <c r="G112" s="14" t="str">
        <f>IF(TRIM(tblDocuments[[#This Row],[Scope]] &amp; "") = "", "(Unspecified)", TRIM(tblDocuments[[#This Row],[Scope]] &amp; ""))</f>
        <v>Design</v>
      </c>
      <c r="H112" s="14">
        <f>SUBTOTAL(103, tblDocuments[[#This Row],[Scope Group]])</f>
        <v>1</v>
      </c>
      <c r="I11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design hld avs platform high level design superseded v1 0 of the platform high level design retained for audit purposes only avs hld superseded v1 0 audit archive </v>
      </c>
      <c r="J112"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avs platform high level design avs hld superseded v1 0 audit archive hld design </v>
      </c>
      <c r="K112"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12"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12" s="14">
        <f>IF(ScopeOverride = 1, 1, tblDocuments[[#This Row],[Visible]] * --(((TRIM(SelScope &amp; "") = "") + (TRIM(SelScope &amp; "") = "All") + (tblDocuments[[#This Row],[Scope Group]] = TRIM(SelScope &amp; ""))) &gt; 0))</f>
        <v>1</v>
      </c>
      <c r="N112" s="14">
        <f>IF(tblDocuments[[#This Row],[In Scope]] * IF(TermCount = 0, 1, IF(BestHits &gt; 0, --(tblDocuments[[#This Row],[Hits]] = BestHits), 0)) = 1, tblDocuments[[#This Row],[Score]] * 2000000 + (2000000 - ROW()), -1)</f>
        <v>1999888</v>
      </c>
      <c r="O112" s="14" t="str">
        <f>IF(TRIM(tblDocuments[[#This Row],[Document Name]] &amp; "") = "", "(untitled document)", TRIM(tblDocuments[[#This Row],[Document Name]] &amp; "")) &amp; IF(LEFT(LOWER(TRIM(tblDocuments[[#This Row],[Document Link]] &amp; "")), 4) = "http", "", "   (no link)")</f>
        <v>AVS Platform High Level Design</v>
      </c>
      <c r="P112" t="str">
        <f>IF(LEFT(LOWER(TRIM(tblDocuments[[#This Row],[Document Link]] &amp; "")), 4) = "http", TRIM(tblDocuments[[#This Row],[Document Link]] &amp; ""), "")</f>
        <v>https://contoso.sharepoint.com/sites/AVSProgram/Shared%20Documents/Design/AVS-Platform-High-Level-Design.pdf</v>
      </c>
    </row>
    <row r="113" spans="1:16" ht="28.5" x14ac:dyDescent="0.25">
      <c r="A113" s="11" t="s">
        <v>474</v>
      </c>
      <c r="B113" s="11" t="s">
        <v>65</v>
      </c>
      <c r="C113" s="11" t="s">
        <v>475</v>
      </c>
      <c r="D113" s="12" t="s">
        <v>476</v>
      </c>
      <c r="E113" s="13" t="s">
        <v>477</v>
      </c>
      <c r="F113" s="13" t="s">
        <v>478</v>
      </c>
      <c r="G113" s="14" t="str">
        <f>IF(TRIM(tblDocuments[[#This Row],[Scope]] &amp; "") = "", "(Unspecified)", TRIM(tblDocuments[[#This Row],[Scope]] &amp; ""))</f>
        <v>network</v>
      </c>
      <c r="H113" s="14">
        <f>SUBTOTAL(103, tblDocuments[[#This Row],[Scope Group]])</f>
        <v>1</v>
      </c>
      <c r="I11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Row],[Scope]] &amp; " " &amp; tblDocuments[[#This Row],[Document Type]] &amp; " " &amp; tblDocuments[[#This Row],[Document Name]] &amp; " " &amp; tblDocuments[[#This Row],[Description]] &amp; " " &amp; tblDocuments[[#This Row],[Keywords]]),","," "),";"," "),"/"," "),"\"," "),"-"," "),"_"," "),"("," "),")"," "),"["," "),"]"," "),"{"," "),"}"," "),"."," "),":"," "),"'"," "),"|"," "),"+"," "),"&amp;"," "),"*"," "),"?"," "),"~"," "),"#"," "),"!"," "),"@"," "),"&lt;"," "),"&gt;"," "),"="," "),CHAR(34)," "),CHAR(9)," "),CHAR(10)," "),CHAR(13)," "),CHAR(160)," "))&amp;" "</f>
        <v xml:space="preserve"> network report wireless site survey legacy dc legacy datacentre wireless survey retained for reference during the decommission programme wireless survey legacy decommission </v>
      </c>
      <c r="J113" s="14" t="str">
        <f>" "&amp;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tblDocuments[[#This Row],[Document Name]] &amp; " " &amp; tblDocuments[[#This Row],[Keywords]] &amp; " " &amp; tblDocuments[[#This Row],[Document Type]] &amp; " " &amp; tblDocuments[[#This Row],[Scope]]),","," "),";"," "),"/"," "),"\"," "),"-"," "),"_"," "),"("," "),")"," "),"["," "),"]"," "),"{"," "),"}"," "),"."," "),":"," "),"'"," "),"|"," "),"+"," "),"&amp;"," "),"*"," "),"?"," "),"~"," "),"#"," "),"!"," "),"@"," "),"&lt;"," "),"&gt;"," "),"="," "),CHAR(34)," "),CHAR(9)," "),CHAR(10)," "),CHAR(13)," "),CHAR(160)," "))&amp;" "</f>
        <v xml:space="preserve"> wireless site survey legacy dc wireless survey legacy decommission report network </v>
      </c>
      <c r="K113" s="14">
        <f>(IF(Calc!$D$2 = "", 0, --ISNUMBER(SEARCH(Calc!$D$2, tblDocuments[[#This Row],[Search Key]]))) + IF(Calc!$E$2 = "", 0, --ISNUMBER(SEARCH(Calc!$E$2, tblDocuments[[#This Row],[Search Key]]))) + IF(Calc!$F$2 = "", 0, --ISNUMBER(SEARCH(Calc!$F$2, tblDocuments[[#This Row],[Search Key]]))) + IF(Calc!$G$2 = "", 0, --ISNUMBER(SEARCH(Calc!$G$2, tblDocuments[[#This Row],[Search Key]]))) + IF(Calc!$H$2 = "", 0, --ISNUMBER(SEARCH(Calc!$H$2, tblDocuments[[#This Row],[Search Key]]))) + IF(Calc!$I$2 = "", 0, --ISNUMBER(SEARCH(Calc!$I$2, tblDocuments[[#This Row],[Search Key]]))) + IF(Calc!$J$2 = "", 0, --ISNUMBER(SEARCH(Calc!$J$2, tblDocuments[[#This Row],[Search Key]]))) + IF(Calc!$K$2 = "", 0, --ISNUMBER(SEARCH(Calc!$K$2, tblDocuments[[#This Row],[Search Key]]))))</f>
        <v>0</v>
      </c>
      <c r="L113" s="14">
        <f>IF(TermCount &lt; 2, 0, --ISNUMBER(SEARCH(Calc!$B$3, tblDocuments[[#This Row],[Search Key]]))) * 10 + (IF(Calc!$D$2 = "", 0, --ISNUMBER(SEARCH(" " &amp; Calc!$D$2 &amp; " ", tblDocuments[[#This Row],[Boost Key]]))) + IF(Calc!$E$2 = "", 0, --ISNUMBER(SEARCH(" " &amp; Calc!$E$2 &amp; " ", tblDocuments[[#This Row],[Boost Key]]))) + IF(Calc!$F$2 = "", 0, --ISNUMBER(SEARCH(" " &amp; Calc!$F$2 &amp; " ", tblDocuments[[#This Row],[Boost Key]]))) + IF(Calc!$G$2 = "", 0, --ISNUMBER(SEARCH(" " &amp; Calc!$G$2 &amp; " ", tblDocuments[[#This Row],[Boost Key]]))) + IF(Calc!$H$2 = "", 0, --ISNUMBER(SEARCH(" " &amp; Calc!$H$2 &amp; " ", tblDocuments[[#This Row],[Boost Key]]))) + IF(Calc!$I$2 = "", 0, --ISNUMBER(SEARCH(" " &amp; Calc!$I$2 &amp; " ", tblDocuments[[#This Row],[Boost Key]]))) + IF(Calc!$J$2 = "", 0, --ISNUMBER(SEARCH(" " &amp; Calc!$J$2 &amp; " ", tblDocuments[[#This Row],[Boost Key]]))) + IF(Calc!$K$2 = "", 0, --ISNUMBER(SEARCH(" " &amp; Calc!$K$2 &amp; " ", tblDocuments[[#This Row],[Boost Key]])))) * 4 + (IF(Calc!$D$2 = "", 0, --ISNUMBER(SEARCH(Calc!$D$2, tblDocuments[[#This Row],[Boost Key]]))) + IF(Calc!$E$2 = "", 0, --ISNUMBER(SEARCH(Calc!$E$2, tblDocuments[[#This Row],[Boost Key]]))) + IF(Calc!$F$2 = "", 0, --ISNUMBER(SEARCH(Calc!$F$2, tblDocuments[[#This Row],[Boost Key]]))) + IF(Calc!$G$2 = "", 0, --ISNUMBER(SEARCH(Calc!$G$2, tblDocuments[[#This Row],[Boost Key]]))) + IF(Calc!$H$2 = "", 0, --ISNUMBER(SEARCH(Calc!$H$2, tblDocuments[[#This Row],[Boost Key]]))) + IF(Calc!$I$2 = "", 0, --ISNUMBER(SEARCH(Calc!$I$2, tblDocuments[[#This Row],[Boost Key]]))) + IF(Calc!$J$2 = "", 0, --ISNUMBER(SEARCH(Calc!$J$2, tblDocuments[[#This Row],[Boost Key]]))) + IF(Calc!$K$2 = "", 0, --ISNUMBER(SEARCH(Calc!$K$2, tblDocuments[[#This Row],[Boost Key]])))) * 3 + tblDocuments[[#This Row],[Hits]] * 2</f>
        <v>0</v>
      </c>
      <c r="M113" s="14">
        <f>IF(ScopeOverride = 1, 1, tblDocuments[[#This Row],[Visible]] * --(((TRIM(SelScope &amp; "") = "") + (TRIM(SelScope &amp; "") = "All") + (tblDocuments[[#This Row],[Scope Group]] = TRIM(SelScope &amp; ""))) &gt; 0))</f>
        <v>1</v>
      </c>
      <c r="N113" s="14">
        <f>IF(tblDocuments[[#This Row],[In Scope]] * IF(TermCount = 0, 1, IF(BestHits &gt; 0, --(tblDocuments[[#This Row],[Hits]] = BestHits), 0)) = 1, tblDocuments[[#This Row],[Score]] * 2000000 + (2000000 - ROW()), -1)</f>
        <v>1999887</v>
      </c>
      <c r="O113" s="14" t="str">
        <f>IF(TRIM(tblDocuments[[#This Row],[Document Name]] &amp; "") = "", "(untitled document)", TRIM(tblDocuments[[#This Row],[Document Name]] &amp; "")) &amp; IF(LEFT(LOWER(TRIM(tblDocuments[[#This Row],[Document Link]] &amp; "")), 4) = "http", "", "   (no link)")</f>
        <v>Wireless Site Survey (Legacy DC)</v>
      </c>
      <c r="P113" t="str">
        <f>IF(LEFT(LOWER(TRIM(tblDocuments[[#This Row],[Document Link]] &amp; "")), 4) = "http", TRIM(tblDocuments[[#This Row],[Document Link]] &amp; ""), "")</f>
        <v>https://contoso.sharepoint.com/sites/AVSProgram/Shared%20Documents/network/Wireless-Site-Survey-Legacy-DC.pdf</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FA0B0"/>
  </sheetPr>
  <dimension ref="A1:Z59"/>
  <sheetViews>
    <sheetView showGridLines="0" workbookViewId="0">
      <selection activeCell="C45" sqref="C45"/>
    </sheetView>
  </sheetViews>
  <sheetFormatPr defaultRowHeight="15" x14ac:dyDescent="0.25"/>
  <cols>
    <col min="1" max="1" width="2.7109375" style="1" customWidth="1"/>
    <col min="2" max="2" width="30.7109375" style="1" customWidth="1"/>
    <col min="3" max="3" width="110.7109375" style="1" customWidth="1"/>
    <col min="4" max="26" width="3.7109375" style="1" customWidth="1"/>
  </cols>
  <sheetData>
    <row r="1" spans="2:3" ht="26.1" customHeight="1" x14ac:dyDescent="0.5">
      <c r="B1" s="17" t="s">
        <v>495</v>
      </c>
    </row>
    <row r="2" spans="2:3" ht="39.950000000000003" customHeight="1" x14ac:dyDescent="0.25">
      <c r="B2" s="18" t="s">
        <v>496</v>
      </c>
      <c r="C2" s="19" t="s">
        <v>497</v>
      </c>
    </row>
    <row r="4" spans="2:3" ht="21.95" customHeight="1" x14ac:dyDescent="0.25">
      <c r="B4" s="20" t="s">
        <v>498</v>
      </c>
    </row>
    <row r="5" spans="2:3" x14ac:dyDescent="0.25">
      <c r="B5" s="18" t="s">
        <v>499</v>
      </c>
      <c r="C5" s="19" t="s">
        <v>500</v>
      </c>
    </row>
    <row r="6" spans="2:3" x14ac:dyDescent="0.25">
      <c r="B6" s="18" t="s">
        <v>501</v>
      </c>
      <c r="C6" s="19" t="s">
        <v>502</v>
      </c>
    </row>
    <row r="7" spans="2:3" x14ac:dyDescent="0.25">
      <c r="B7" s="18" t="s">
        <v>503</v>
      </c>
      <c r="C7" s="19" t="s">
        <v>504</v>
      </c>
    </row>
    <row r="8" spans="2:3" x14ac:dyDescent="0.25">
      <c r="B8" s="18" t="s">
        <v>505</v>
      </c>
      <c r="C8" s="19" t="s">
        <v>506</v>
      </c>
    </row>
    <row r="10" spans="2:3" ht="21.95" customHeight="1" x14ac:dyDescent="0.25">
      <c r="B10" s="20" t="s">
        <v>507</v>
      </c>
    </row>
    <row r="11" spans="2:3" ht="60" customHeight="1" x14ac:dyDescent="0.25">
      <c r="B11" s="18" t="s">
        <v>508</v>
      </c>
      <c r="C11" s="19" t="s">
        <v>509</v>
      </c>
    </row>
    <row r="12" spans="2:3" ht="84" customHeight="1" x14ac:dyDescent="0.25">
      <c r="B12" s="18" t="s">
        <v>510</v>
      </c>
      <c r="C12" s="19" t="s">
        <v>511</v>
      </c>
    </row>
    <row r="13" spans="2:3" ht="108" customHeight="1" x14ac:dyDescent="0.25">
      <c r="B13" s="18" t="s">
        <v>512</v>
      </c>
      <c r="C13" s="19" t="s">
        <v>513</v>
      </c>
    </row>
    <row r="14" spans="2:3" ht="32.1" customHeight="1" x14ac:dyDescent="0.25">
      <c r="B14" s="18" t="s">
        <v>514</v>
      </c>
      <c r="C14" s="19" t="s">
        <v>515</v>
      </c>
    </row>
    <row r="15" spans="2:3" x14ac:dyDescent="0.25">
      <c r="B15" s="18" t="s">
        <v>516</v>
      </c>
      <c r="C15" s="19" t="s">
        <v>517</v>
      </c>
    </row>
    <row r="16" spans="2:3" ht="68.099999999999994" customHeight="1" x14ac:dyDescent="0.25">
      <c r="B16" s="18" t="s">
        <v>518</v>
      </c>
      <c r="C16" s="19" t="s">
        <v>519</v>
      </c>
    </row>
    <row r="17" spans="2:3" ht="48" customHeight="1" x14ac:dyDescent="0.25">
      <c r="B17" s="18" t="s">
        <v>520</v>
      </c>
      <c r="C17" s="19" t="s">
        <v>521</v>
      </c>
    </row>
    <row r="18" spans="2:3" ht="68.099999999999994" customHeight="1" x14ac:dyDescent="0.25">
      <c r="B18" s="18" t="s">
        <v>522</v>
      </c>
      <c r="C18" s="19" t="s">
        <v>523</v>
      </c>
    </row>
    <row r="19" spans="2:3" ht="56.1" customHeight="1" x14ac:dyDescent="0.25">
      <c r="B19" s="18" t="s">
        <v>524</v>
      </c>
      <c r="C19" s="19" t="s">
        <v>525</v>
      </c>
    </row>
    <row r="20" spans="2:3" x14ac:dyDescent="0.25">
      <c r="B20" s="18" t="s">
        <v>526</v>
      </c>
      <c r="C20" s="19" t="s">
        <v>527</v>
      </c>
    </row>
    <row r="22" spans="2:3" ht="21.95" customHeight="1" x14ac:dyDescent="0.25">
      <c r="B22" s="20" t="s">
        <v>528</v>
      </c>
    </row>
    <row r="23" spans="2:3" ht="39.950000000000003" customHeight="1" x14ac:dyDescent="0.25">
      <c r="B23" s="18" t="s">
        <v>529</v>
      </c>
      <c r="C23" s="19" t="s">
        <v>530</v>
      </c>
    </row>
    <row r="24" spans="2:3" ht="51.95" customHeight="1" x14ac:dyDescent="0.25">
      <c r="B24" s="18" t="s">
        <v>531</v>
      </c>
      <c r="C24" s="19" t="s">
        <v>532</v>
      </c>
    </row>
    <row r="25" spans="2:3" ht="51.95" customHeight="1" x14ac:dyDescent="0.25">
      <c r="B25" s="18" t="s">
        <v>533</v>
      </c>
      <c r="C25" s="19" t="s">
        <v>534</v>
      </c>
    </row>
    <row r="26" spans="2:3" x14ac:dyDescent="0.25">
      <c r="B26" s="18" t="s">
        <v>535</v>
      </c>
      <c r="C26" s="19" t="s">
        <v>536</v>
      </c>
    </row>
    <row r="28" spans="2:3" ht="21.95" customHeight="1" x14ac:dyDescent="0.25">
      <c r="B28" s="20" t="s">
        <v>537</v>
      </c>
    </row>
    <row r="29" spans="2:3" x14ac:dyDescent="0.25">
      <c r="B29" s="18" t="s">
        <v>538</v>
      </c>
      <c r="C29" s="21">
        <f>IFERROR(ROWS(tblDocuments[Document Name]), 0)</f>
        <v>109</v>
      </c>
    </row>
    <row r="30" spans="2:3" x14ac:dyDescent="0.25">
      <c r="B30" s="18" t="s">
        <v>539</v>
      </c>
      <c r="C30" s="21">
        <f>IFERROR(Calc!$B$7, 0)</f>
        <v>12</v>
      </c>
    </row>
    <row r="31" spans="2:3" x14ac:dyDescent="0.25">
      <c r="B31" s="18" t="s">
        <v>540</v>
      </c>
      <c r="C31" s="21">
        <f>IFERROR(COUNTIF(tblDocuments[Search Key], "?*"), 0)</f>
        <v>109</v>
      </c>
    </row>
    <row r="32" spans="2:3" x14ac:dyDescent="0.25">
      <c r="B32" s="18" t="s">
        <v>541</v>
      </c>
      <c r="C32" s="21">
        <f>IFERROR(COUNTIF(tblDocuments[Scope Group], "(Unspecified)"), 0)</f>
        <v>1</v>
      </c>
    </row>
    <row r="33" spans="2:3" x14ac:dyDescent="0.25">
      <c r="B33" s="18" t="s">
        <v>542</v>
      </c>
      <c r="C33" s="21">
        <f>IFERROR(SUMPRODUCT(--(TRIM(tblDocuments[Document Type] &amp; "") = "")), 0)</f>
        <v>1</v>
      </c>
    </row>
    <row r="34" spans="2:3" x14ac:dyDescent="0.25">
      <c r="B34" s="18" t="s">
        <v>543</v>
      </c>
      <c r="C34" s="21">
        <f>IFERROR(SUMPRODUCT(--(TRIM(tblDocuments[Description] &amp; "") = "")), 0)</f>
        <v>1</v>
      </c>
    </row>
    <row r="35" spans="2:3" x14ac:dyDescent="0.25">
      <c r="B35" s="18" t="s">
        <v>544</v>
      </c>
      <c r="C35" s="21">
        <f>IFERROR(SUMPRODUCT(--(TRIM(tblDocuments[Keywords] &amp; "") = "")), 0)</f>
        <v>1</v>
      </c>
    </row>
    <row r="36" spans="2:3" x14ac:dyDescent="0.25">
      <c r="B36" s="18" t="s">
        <v>545</v>
      </c>
      <c r="C36" s="21">
        <f>IFERROR(SUMPRODUCT(--(LEFT(LOWER(TRIM(tblDocuments[Document Link] &amp; "")), 4) &lt;&gt; "http")), 0)</f>
        <v>1</v>
      </c>
    </row>
    <row r="37" spans="2:3" x14ac:dyDescent="0.25">
      <c r="B37" s="18" t="s">
        <v>546</v>
      </c>
      <c r="C37" s="21">
        <f>IFERROR(SUMPRODUCT(--(TRIM(tblDocuments[Document Name] &amp; "") &lt;&gt; (tblDocuments[Document Name] &amp; ""))), 0)</f>
        <v>1</v>
      </c>
    </row>
    <row r="38" spans="2:3" x14ac:dyDescent="0.25">
      <c r="B38" s="18" t="s">
        <v>547</v>
      </c>
      <c r="C38" s="21">
        <f>IFERROR(SUMPRODUCT((TRIM(tblDocuments[Document Name] &amp; "") &lt;&gt; "") * (COUNTIF(tblDocuments[Document Name], tblDocuments[Document Name] &amp; "") &gt; 1)), 0)</f>
        <v>2</v>
      </c>
    </row>
    <row r="40" spans="2:3" ht="39.950000000000003" customHeight="1" x14ac:dyDescent="0.25">
      <c r="C40" s="19" t="s">
        <v>548</v>
      </c>
    </row>
    <row r="42" spans="2:3" ht="21.95" customHeight="1" x14ac:dyDescent="0.25">
      <c r="B42" s="20" t="s">
        <v>549</v>
      </c>
    </row>
    <row r="43" spans="2:3" ht="44.1" customHeight="1" x14ac:dyDescent="0.25">
      <c r="B43" s="18" t="s">
        <v>550</v>
      </c>
      <c r="C43" s="19" t="s">
        <v>551</v>
      </c>
    </row>
    <row r="44" spans="2:3" ht="32.1" customHeight="1" x14ac:dyDescent="0.25">
      <c r="B44" s="18" t="s">
        <v>552</v>
      </c>
      <c r="C44" s="19" t="s">
        <v>553</v>
      </c>
    </row>
    <row r="45" spans="2:3" ht="44.1" customHeight="1" x14ac:dyDescent="0.25">
      <c r="B45" s="18" t="s">
        <v>554</v>
      </c>
      <c r="C45" s="19" t="s">
        <v>555</v>
      </c>
    </row>
    <row r="46" spans="2:3" ht="44.1" customHeight="1" x14ac:dyDescent="0.25">
      <c r="B46" s="18" t="s">
        <v>556</v>
      </c>
      <c r="C46" s="19" t="s">
        <v>557</v>
      </c>
    </row>
    <row r="48" spans="2:3" ht="21.95" customHeight="1" x14ac:dyDescent="0.25">
      <c r="B48" s="20" t="s">
        <v>558</v>
      </c>
    </row>
    <row r="49" spans="2:3" x14ac:dyDescent="0.25">
      <c r="B49" s="18" t="s">
        <v>559</v>
      </c>
      <c r="C49" s="19" t="s">
        <v>560</v>
      </c>
    </row>
    <row r="50" spans="2:3" ht="44.1" customHeight="1" x14ac:dyDescent="0.25">
      <c r="B50" s="18" t="s">
        <v>561</v>
      </c>
      <c r="C50" s="19" t="s">
        <v>562</v>
      </c>
    </row>
    <row r="51" spans="2:3" x14ac:dyDescent="0.25">
      <c r="B51" s="18" t="s">
        <v>563</v>
      </c>
      <c r="C51" s="19" t="s">
        <v>564</v>
      </c>
    </row>
    <row r="53" spans="2:3" ht="21.95" customHeight="1" x14ac:dyDescent="0.25">
      <c r="B53" s="20" t="s">
        <v>565</v>
      </c>
    </row>
    <row r="54" spans="2:3" ht="39.950000000000003" customHeight="1" x14ac:dyDescent="0.25">
      <c r="B54" s="18" t="s">
        <v>566</v>
      </c>
      <c r="C54" s="19" t="s">
        <v>567</v>
      </c>
    </row>
    <row r="55" spans="2:3" ht="27.95" customHeight="1" x14ac:dyDescent="0.25">
      <c r="B55" s="18" t="s">
        <v>568</v>
      </c>
      <c r="C55" s="19" t="s">
        <v>569</v>
      </c>
    </row>
    <row r="56" spans="2:3" ht="39.950000000000003" customHeight="1" x14ac:dyDescent="0.25">
      <c r="B56" s="18" t="s">
        <v>570</v>
      </c>
      <c r="C56" s="19" t="s">
        <v>571</v>
      </c>
    </row>
    <row r="57" spans="2:3" ht="39.950000000000003" customHeight="1" x14ac:dyDescent="0.25">
      <c r="B57" s="18" t="s">
        <v>572</v>
      </c>
      <c r="C57" s="19" t="s">
        <v>573</v>
      </c>
    </row>
    <row r="58" spans="2:3" ht="44.1" customHeight="1" x14ac:dyDescent="0.25">
      <c r="B58" s="18" t="s">
        <v>574</v>
      </c>
      <c r="C58" s="19" t="s">
        <v>575</v>
      </c>
    </row>
    <row r="59" spans="2:3" ht="24" customHeight="1" x14ac:dyDescent="0.25">
      <c r="B59" s="18" t="s">
        <v>576</v>
      </c>
      <c r="C59" s="19" t="s">
        <v>577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5"/>
  <sheetViews>
    <sheetView showGridLines="0" workbookViewId="0"/>
  </sheetViews>
  <sheetFormatPr defaultRowHeight="15" x14ac:dyDescent="0.25"/>
  <cols>
    <col min="1" max="1" width="46.7109375" customWidth="1"/>
    <col min="2" max="2" width="26.7109375" customWidth="1"/>
    <col min="3" max="3" width="14.7109375" customWidth="1"/>
    <col min="4" max="11" width="16.7109375" customWidth="1"/>
    <col min="12" max="12" width="3.7109375" customWidth="1"/>
    <col min="13" max="13" width="26.7109375" customWidth="1"/>
  </cols>
  <sheetData>
    <row r="1" spans="1:13" x14ac:dyDescent="0.25">
      <c r="A1" s="16" t="s">
        <v>578</v>
      </c>
      <c r="C1" s="22" t="s">
        <v>576</v>
      </c>
      <c r="M1" s="22" t="s">
        <v>479</v>
      </c>
    </row>
    <row r="2" spans="1:13" x14ac:dyDescent="0.25">
      <c r="D2" s="23" t="str">
        <f>IFERROR(TRIM(MID(SUBSTITUTE($B$3, " ", REPT(" ", 250)), 1 + 0 * 250, 250)), "")</f>
        <v/>
      </c>
      <c r="E2" s="23" t="str">
        <f>IFERROR(TRIM(MID(SUBSTITUTE($B$3, " ", REPT(" ", 250)), 1 + 1 * 250, 250)), "")</f>
        <v/>
      </c>
      <c r="F2" s="23" t="str">
        <f>IFERROR(TRIM(MID(SUBSTITUTE($B$3, " ", REPT(" ", 250)), 1 + 2 * 250, 250)), "")</f>
        <v/>
      </c>
      <c r="G2" s="23" t="str">
        <f>IFERROR(TRIM(MID(SUBSTITUTE($B$3, " ", REPT(" ", 250)), 1 + 3 * 250, 250)), "")</f>
        <v/>
      </c>
      <c r="H2" s="23" t="str">
        <f>IFERROR(TRIM(MID(SUBSTITUTE($B$3, " ", REPT(" ", 250)), 1 + 4 * 250, 250)), "")</f>
        <v/>
      </c>
      <c r="I2" s="23" t="str">
        <f>IFERROR(TRIM(MID(SUBSTITUTE($B$3, " ", REPT(" ", 250)), 1 + 5 * 250, 250)), "")</f>
        <v/>
      </c>
      <c r="J2" s="23" t="str">
        <f>IFERROR(TRIM(MID(SUBSTITUTE($B$3, " ", REPT(" ", 250)), 1 + 6 * 250, 250)), "")</f>
        <v/>
      </c>
      <c r="K2" s="23" t="str">
        <f>IFERROR(TRIM(MID(SUBSTITUTE($B$3, " ", REPT(" ", 250)), 1 + 7 * 250, 250)), "")</f>
        <v/>
      </c>
      <c r="M2" s="23" t="str" cm="1">
        <f t="array" ref="M2:M14">IFERROR(_xlfn.VSTACK("All", _xlfn._xlws.SORT(_xlfn.UNIQUE(tblDocuments[Scope Group]))), "All")</f>
        <v>All</v>
      </c>
    </row>
    <row r="3" spans="1:13" x14ac:dyDescent="0.25">
      <c r="A3" s="24" t="s">
        <v>579</v>
      </c>
      <c r="B3" s="23" t="str">
        <f>IFERROR(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LOWER(SearchBox &amp; ""),","," "),";"," "),"/"," "),"\"," "),"-"," "),"_"," "),"("," "),")"," "),"["," "),"]"," "),"{"," "),"}"," "),"."," "),":"," "),"'"," "),"|"," "),"+"," "),"&amp;"," "),"*"," "),"?"," "),"~"," "),"#"," "),"!"," "),"@"," "),"&lt;"," "),"&gt;"," "),"="," "),CHAR(34)," "),CHAR(9)," "),CHAR(10)," "),CHAR(13)," "),CHAR(160)," ")), "")</f>
        <v/>
      </c>
      <c r="M3" t="str">
        <v>(Unspecified)</v>
      </c>
    </row>
    <row r="4" spans="1:13" x14ac:dyDescent="0.25">
      <c r="A4" s="24" t="s">
        <v>580</v>
      </c>
      <c r="B4" s="23">
        <f>IFERROR(SUMPRODUCT(--(tblDocuments[Sort Key] &gt;= 0)), 0)</f>
        <v>109</v>
      </c>
      <c r="M4" t="str">
        <v>Backup &amp; DR</v>
      </c>
    </row>
    <row r="5" spans="1:13" x14ac:dyDescent="0.25">
      <c r="A5" s="24" t="s">
        <v>581</v>
      </c>
      <c r="B5" s="23">
        <f>MIN($B$4,$B$6)</f>
        <v>109</v>
      </c>
      <c r="M5" t="str">
        <v>Cost</v>
      </c>
    </row>
    <row r="6" spans="1:13" x14ac:dyDescent="0.25">
      <c r="A6" s="24" t="s">
        <v>582</v>
      </c>
      <c r="B6" s="23">
        <v>200</v>
      </c>
      <c r="M6" t="str">
        <v>Design</v>
      </c>
    </row>
    <row r="7" spans="1:13" x14ac:dyDescent="0.25">
      <c r="A7" s="24" t="s">
        <v>539</v>
      </c>
      <c r="B7" s="23">
        <f>IFERROR(MAX(0, COUNTIF(Calc!$M$2:$M$501, "?*") - 1), 0)</f>
        <v>12</v>
      </c>
      <c r="M7" t="str">
        <v>Governance</v>
      </c>
    </row>
    <row r="8" spans="1:13" x14ac:dyDescent="0.25">
      <c r="A8" s="24" t="s">
        <v>538</v>
      </c>
      <c r="B8" s="23">
        <f>IFERROR(ROWS(tblDocuments[Document Name]), 0)</f>
        <v>109</v>
      </c>
      <c r="M8" t="str">
        <v>Identity</v>
      </c>
    </row>
    <row r="9" spans="1:13" x14ac:dyDescent="0.25">
      <c r="A9" s="24" t="s">
        <v>583</v>
      </c>
      <c r="B9" s="23" t="str">
        <f>IFERROR(IF(ResultCount = 0,"No documents found"&amp; IF(ScopeOverride = 1,"  —  searching every scope already. Try another keyword or check the spelling.",IF(VisibleDocs &lt; TotalDocs,"  —  a slicer or table filter is hiding "&amp; TEXT(TotalDocs - VisibleDocs, "#,##0") &amp; " of "&amp; TEXT(TotalDocs, "#,##0")&amp; " documents. Clear it, or set 'When searching' to Search all scopes.",IF(OR(TRIM(SelScope &amp; "") = "", TRIM(SelScope &amp; "") = "All"),"  —  try another keyword or check the spelling."," in " &amp; TRIM(SelScope &amp; "")&amp; "  —  set Scope to All to search every scope."))),TEXT(ResultCount, "#,##0") &amp; " document" &amp; IF(ResultCount = 1, "", "s") &amp; " found"&amp; IF(OR(ScopeOverride = 1, TRIM(SelScope &amp; "") = "",TRIM(SelScope &amp; "") = "All")," across all scopes", " in " &amp; TRIM(SelScope &amp; ""))&amp; IF(TRIM(SearchBox &amp; "") = "", ""," matching “" &amp; TRIM(SearchBox &amp; "") &amp; "”")&amp; IF(ScopeOverride = 1, "   •   scope filter ignored",IF(VisibleDocs &lt; TotalDocs, "   •   slicer active", ""))&amp; IF(ShownCount &lt; ResultCount,"   •   showing the first " &amp; TEXT(ShownCount, "#,##0"), "")),"")</f>
        <v>109 documents found across all scopes</v>
      </c>
      <c r="M9" t="str">
        <v>Migration</v>
      </c>
    </row>
    <row r="10" spans="1:13" x14ac:dyDescent="0.25">
      <c r="A10" s="24" t="s">
        <v>584</v>
      </c>
      <c r="B10" s="23" t="str">
        <f>IFERROR(IF(ResultCount &gt; ShownCount,"Showing the first " &amp; TEXT(ShownCount, "#,##0") &amp; " of "&amp; TEXT(ResultCount, "#,##0")&amp; " matches. Add another search word or pick a Scope to narrow the list.",IF(ResultCount = 0, "", "—  end of results  —")),"")</f>
        <v>—  end of results  —</v>
      </c>
      <c r="M10" t="str">
        <v>Network</v>
      </c>
    </row>
    <row r="11" spans="1:13" x14ac:dyDescent="0.25">
      <c r="A11" s="24" t="s">
        <v>585</v>
      </c>
      <c r="B11" s="23" t="str">
        <f>IFERROR("Search and browse the Azure VMware Solution document library"&amp; "   •   " &amp; TEXT(TotalDocs, "#,##0") &amp; " documents indexed"&amp; "   •   " &amp; TEXT($B$7, "#,##0") &amp; " scopes","Search and browse the Azure VMware Solution document library")</f>
        <v>Search and browse the Azure VMware Solution document library   •   109 documents indexed   •   12 scopes</v>
      </c>
      <c r="M11" t="str">
        <v>Operations</v>
      </c>
    </row>
    <row r="12" spans="1:13" x14ac:dyDescent="0.25">
      <c r="A12" s="24" t="s">
        <v>586</v>
      </c>
      <c r="B12" s="23">
        <f>COUNTIF($D$2:$K$2, "?*")</f>
        <v>0</v>
      </c>
      <c r="M12" t="str">
        <v>Security</v>
      </c>
    </row>
    <row r="13" spans="1:13" x14ac:dyDescent="0.25">
      <c r="A13" s="24" t="s">
        <v>587</v>
      </c>
      <c r="B13" s="23">
        <f>IFERROR(SUMPRODUCT(MAX(tblDocuments[In Scope] * tblDocuments[Hits])), 0)</f>
        <v>0</v>
      </c>
      <c r="M13" t="str">
        <v>Storage</v>
      </c>
    </row>
    <row r="14" spans="1:13" x14ac:dyDescent="0.25">
      <c r="A14" s="24" t="s">
        <v>588</v>
      </c>
      <c r="B14" s="23">
        <f>IFERROR(SUMPRODUCT(tblDocuments[Visible]), 0)</f>
        <v>109</v>
      </c>
      <c r="M14" t="str">
        <v>Training</v>
      </c>
    </row>
    <row r="15" spans="1:13" x14ac:dyDescent="0.25">
      <c r="A15" s="24" t="s">
        <v>589</v>
      </c>
      <c r="B15" s="23">
        <f>IFERROR(--AND(TermCount &gt; 0, TRIM(SearchMode &amp; "") = "Search all scopes"), 0)</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NJG2E5NLVRTI7WGOQRDZ6KKZH3A2AW2J:ms-officescript%3A%2F%2Fonedrive_business_sharinglink%2Fu!aHR0cHM6Ly9zaHJlZWthbWEtbXkuc2hhcmVwb2ludC5jb20vOnU6L3AvcHJhc2hhbnQvSVFDcnJHYVAyTTZFUjU4cFdUN0JvRnRKQVY4X0ZnbjJ0MGtLSXY5cE5UQ3FFT0k"/>
</scriptIds>
</file>

<file path=customXml/itemProps1.xml><?xml version="1.0" encoding="utf-8"?>
<ds:datastoreItem xmlns:ds="http://schemas.openxmlformats.org/officeDocument/2006/customXml" ds:itemID="{E692A9EB-2511-4BDD-A29A-C1A014455DEB}">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Index</vt:lpstr>
      <vt:lpstr>Repository</vt:lpstr>
      <vt:lpstr>Read Me</vt:lpstr>
      <vt:lpstr>Calc</vt:lpstr>
      <vt:lpstr>BestHits</vt:lpstr>
      <vt:lpstr>ResultCount</vt:lpstr>
      <vt:lpstr>ScopeOverride</vt:lpstr>
      <vt:lpstr>SearchBox</vt:lpstr>
      <vt:lpstr>SearchMode</vt:lpstr>
      <vt:lpstr>SelScope</vt:lpstr>
      <vt:lpstr>ShownCount</vt:lpstr>
      <vt:lpstr>TermCount</vt:lpstr>
      <vt:lpstr>TotalDocs</vt:lpstr>
      <vt:lpstr>VisibleDocs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AVS Document Repository</dc:title>
  <dc:subject>Searchable document index for the Azure VMware Solution programme</dc:subject>
  <dc:creator/>
  <dc:description>Native Excel only - no macros, no external data connections.</dc:description>
  <cp:lastModifiedBy>Prashant Sahu</cp:lastModifiedBy>
  <dcterms:created xsi:type="dcterms:W3CDTF">2026-01-01T00:00:00Z</dcterms:created>
  <dcterms:modified xsi:type="dcterms:W3CDTF">2026-09-01T16:58:59Z</dcterms:modified>
</cp:coreProperties>
</file>